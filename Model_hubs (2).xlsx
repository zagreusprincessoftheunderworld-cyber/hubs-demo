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еребор" sheetId="3" state="visible" r:id="rId3"/>
    <sheet xmlns:r="http://schemas.openxmlformats.org/officeDocument/2006/relationships" name="Результат" sheetId="4" state="visible" r:id="rId4"/>
    <sheet xmlns:r="http://schemas.openxmlformats.org/officeDocument/2006/relationships" name="Одна сет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0E5A6B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0E5A6B"/>
      </patternFill>
    </fill>
    <fill>
      <patternFill patternType="solid">
        <fgColor rgb="00E3F4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164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2" fillId="4" borderId="1" pivotButton="0" quotePrefix="0" xfId="0"/>
    <xf numFmtId="3" fontId="2" fillId="4" borderId="1" pivotButton="0" quotePrefix="0" xfId="0"/>
    <xf numFmtId="165" fontId="2" fillId="4" borderId="1" pivotButton="0" quotePrefix="0" xfId="0"/>
    <xf numFmtId="164" fontId="2" fillId="4" borderId="1" pivotButton="0" quotePrefix="0" xfId="0"/>
    <xf numFmtId="0" fontId="4" fillId="0" borderId="0" pivotButton="0" quotePrefix="0" xfId="0"/>
    <xf numFmtId="165" fontId="0" fillId="0" borderId="0" pivotButton="0" quotePrefix="0" xfId="0"/>
    <xf numFmtId="3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Как пользоваться этим файлом</t>
        </is>
      </c>
    </row>
    <row r="2">
      <c r="A2" t="inlineStr"/>
    </row>
    <row r="3">
      <c r="A3" t="inlineStr">
        <is>
          <t>Здесь посчитано, какие хабы выгоднее держать. Цифры взяты для примера, это не данные реальной компании.</t>
        </is>
      </c>
    </row>
    <row r="4">
      <c r="A4" t="inlineStr"/>
    </row>
    <row r="5">
      <c r="A5" s="2" t="inlineStr">
        <is>
          <t>Что делать по порядку</t>
        </is>
      </c>
    </row>
    <row r="6">
      <c r="A6" t="inlineStr">
        <is>
          <t>1. Откройте лист «Результат». Там уже стоит ответ для обычных условий.</t>
        </is>
      </c>
    </row>
    <row r="7">
      <c r="A7" t="inlineStr">
        <is>
          <t>2. Перейдите на лист «Данные». В жёлтых клетках стоят числа, их можно менять.</t>
        </is>
      </c>
    </row>
    <row r="8">
      <c r="A8" t="inlineStr">
        <is>
          <t>3. Клетка B3: на сколько процентов выросли тарифы. Поставьте 30 и посмотрите, что изменилось на листе «Результат».</t>
        </is>
      </c>
    </row>
    <row r="9">
      <c r="A9" t="inlineStr">
        <is>
          <t>4. Клетка B4: граница. 1 значит закрыта, 0 значит открыта. Поставьте 1 и снова посмотрите на «Результат».</t>
        </is>
      </c>
    </row>
    <row r="10">
      <c r="A10" t="inlineStr">
        <is>
          <t>5. Сравните свои числа с таблицей внизу листа «Результат». Если совпали, всё считается правильно.</t>
        </is>
      </c>
    </row>
    <row r="11">
      <c r="A11" t="inlineStr">
        <is>
          <t>6. Верните B3 в 0 и B4 в 0.</t>
        </is>
      </c>
    </row>
    <row r="12">
      <c r="A12" t="inlineStr"/>
    </row>
    <row r="13">
      <c r="A13" s="2" t="inlineStr">
        <is>
          <t>Что лежит на листах</t>
        </is>
      </c>
    </row>
    <row r="14">
      <c r="A14" t="inlineStr">
        <is>
          <t>Данные: все исходные числа и таблица стоимости доставки.</t>
        </is>
      </c>
    </row>
    <row r="15">
      <c r="A15" t="inlineStr">
        <is>
          <t>Перебор: проверены все 31 способа выбрать хабы из пяти. В каждой строке итоговые затраты.</t>
        </is>
      </c>
    </row>
    <row r="16">
      <c r="A16" t="inlineStr">
        <is>
          <t>Результат: лучший вариант, затраты и экономия против схемы «всё через Москву».</t>
        </is>
      </c>
    </row>
    <row r="17">
      <c r="A17" t="inlineStr">
        <is>
          <t>Одна сеть: ручной вариант, нужен только для «Поиска решения».</t>
        </is>
      </c>
    </row>
    <row r="18">
      <c r="A18" t="inlineStr"/>
    </row>
    <row r="19">
      <c r="A19" s="2" t="inlineStr">
        <is>
          <t>Если хотите свои цифры</t>
        </is>
      </c>
    </row>
    <row r="20">
      <c r="A20" t="inlineStr">
        <is>
          <t>Меняйте только жёлтые клетки на листе «Данные»: хранение, ставки, спрос, расстояния. Запишите, откуда взяли каждое число.</t>
        </is>
      </c>
    </row>
    <row r="21">
      <c r="A21" t="inlineStr"/>
    </row>
    <row r="22">
      <c r="A22" s="2" t="inlineStr">
        <is>
          <t>«Поиск решения» (необязательно)</t>
        </is>
      </c>
    </row>
    <row r="23">
      <c r="A23" t="inlineStr">
        <is>
          <t>Лист «Одна сеть». Данные → Поиск решения. Цель: клетка B20, минимум. Меняем клетки B3:F3.</t>
        </is>
      </c>
    </row>
    <row r="24">
      <c r="A24" t="inlineStr">
        <is>
          <t>Ограничения: B3:F3 двоичные, B21 не меньше 1. Метод: «Эволюционный поиск».</t>
        </is>
      </c>
    </row>
    <row r="25">
      <c r="A25" t="inlineStr">
        <is>
          <t>Ответ должен совпасть с лучшей строкой на листе «Перебор». Для пяти хабов хватает перебора.</t>
        </is>
      </c>
    </row>
    <row r="26">
      <c r="A26" t="inlineStr"/>
    </row>
    <row r="27">
      <c r="A27" s="2" t="inlineStr">
        <is>
          <t>Что не учтено</t>
        </is>
      </c>
    </row>
    <row r="28">
      <c r="A28" t="inlineStr">
        <is>
          <t>Вместимость хабов, сезонность, пошлины. Все товары считаются как один вид.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Исходные данные (условные)</t>
        </is>
      </c>
    </row>
    <row r="3">
      <c r="A3" t="inlineStr">
        <is>
          <t>Рост тарифов на плечо из Китая, %</t>
        </is>
      </c>
      <c r="B3" s="3" t="n">
        <v>0</v>
      </c>
    </row>
    <row r="4">
      <c r="A4" t="inlineStr">
        <is>
          <t>Граница закрыта (1 да, 0 нет)</t>
        </is>
      </c>
      <c r="B4" s="3" t="n">
        <v>0</v>
      </c>
    </row>
    <row r="5">
      <c r="A5" t="inlineStr">
        <is>
          <t>Ставка доставки, тыс. ₽ за т·км</t>
        </is>
      </c>
      <c r="B5" s="3" t="n">
        <v>0.0035</v>
      </c>
    </row>
    <row r="6">
      <c r="A6" t="inlineStr">
        <is>
          <t>Скорость, км/сутки</t>
        </is>
      </c>
      <c r="B6" s="3" t="n">
        <v>600</v>
      </c>
    </row>
    <row r="7">
      <c r="A7" t="inlineStr">
        <is>
          <t>Стоимость суток в пути, тыс. ₽/т</t>
        </is>
      </c>
      <c r="B7" s="3" t="n">
        <v>0.4</v>
      </c>
    </row>
    <row r="8">
      <c r="A8" t="inlineStr">
        <is>
          <t>Граница: множитель стоимости входа для сухопутных хабов</t>
        </is>
      </c>
      <c r="B8" s="3" t="n">
        <v>1.15</v>
      </c>
    </row>
    <row r="9">
      <c r="A9" t="inlineStr">
        <is>
          <t>Граница: добавочные дни для сухопутных хабов</t>
        </is>
      </c>
      <c r="B9" s="3" t="n">
        <v>14</v>
      </c>
    </row>
    <row r="10">
      <c r="A10" s="2" t="inlineStr">
        <is>
          <t>Хабы</t>
        </is>
      </c>
    </row>
    <row r="11">
      <c r="A11" s="4" t="inlineStr">
        <is>
          <t>Хаб</t>
        </is>
      </c>
      <c r="B11" s="4" t="inlineStr">
        <is>
          <t>Хранение, млн ₽/год</t>
        </is>
      </c>
      <c r="C11" s="4" t="inlineStr">
        <is>
          <t>Вход из Китая, тыс. ₽/т</t>
        </is>
      </c>
      <c r="D11" s="4" t="inlineStr">
        <is>
          <t>Дни до хаба</t>
        </is>
      </c>
      <c r="E11" s="4" t="inlineStr">
        <is>
          <t>Сухопутный (1/0)</t>
        </is>
      </c>
    </row>
    <row r="12">
      <c r="A12" t="inlineStr">
        <is>
          <t>Владивосток</t>
        </is>
      </c>
      <c r="B12" s="3" t="n">
        <v>120</v>
      </c>
      <c r="C12" s="3" t="n">
        <v>6</v>
      </c>
      <c r="D12" s="3" t="n">
        <v>12</v>
      </c>
      <c r="E12" s="3" t="n">
        <v>0</v>
      </c>
    </row>
    <row r="13">
      <c r="A13" t="inlineStr">
        <is>
          <t>Новосибирск</t>
        </is>
      </c>
      <c r="B13" s="3" t="n">
        <v>90</v>
      </c>
      <c r="C13" s="3" t="n">
        <v>10</v>
      </c>
      <c r="D13" s="3" t="n">
        <v>12</v>
      </c>
      <c r="E13" s="3" t="n">
        <v>1</v>
      </c>
    </row>
    <row r="14">
      <c r="A14" t="inlineStr">
        <is>
          <t>Екатеринбург</t>
        </is>
      </c>
      <c r="B14" s="3" t="n">
        <v>100</v>
      </c>
      <c r="C14" s="3" t="n">
        <v>13</v>
      </c>
      <c r="D14" s="3" t="n">
        <v>14</v>
      </c>
      <c r="E14" s="3" t="n">
        <v>1</v>
      </c>
    </row>
    <row r="15">
      <c r="A15" t="inlineStr">
        <is>
          <t>Москва</t>
        </is>
      </c>
      <c r="B15" s="3" t="n">
        <v>220</v>
      </c>
      <c r="C15" s="3" t="n">
        <v>18</v>
      </c>
      <c r="D15" s="3" t="n">
        <v>18</v>
      </c>
      <c r="E15" s="3" t="n">
        <v>1</v>
      </c>
    </row>
    <row r="16">
      <c r="A16" t="inlineStr">
        <is>
          <t>Краснодар</t>
        </is>
      </c>
      <c r="B16" s="3" t="n">
        <v>110</v>
      </c>
      <c r="C16" s="3" t="n">
        <v>20</v>
      </c>
      <c r="D16" s="3" t="n">
        <v>20</v>
      </c>
      <c r="E16" s="3" t="n">
        <v>1</v>
      </c>
    </row>
    <row r="18">
      <c r="A18" s="2" t="inlineStr">
        <is>
          <t>Спрос по регионам</t>
        </is>
      </c>
    </row>
    <row r="19">
      <c r="A19" s="4" t="inlineStr">
        <is>
          <t>Регион</t>
        </is>
      </c>
      <c r="B19" s="4" t="inlineStr">
        <is>
          <t>Спрос, тыс. т/год</t>
        </is>
      </c>
    </row>
    <row r="20">
      <c r="A20" t="inlineStr">
        <is>
          <t>Центр</t>
        </is>
      </c>
      <c r="B20" s="3" t="n">
        <v>40</v>
      </c>
    </row>
    <row r="21">
      <c r="A21" t="inlineStr">
        <is>
          <t>Северо-Запад</t>
        </is>
      </c>
      <c r="B21" s="3" t="n">
        <v>18</v>
      </c>
    </row>
    <row r="22">
      <c r="A22" t="inlineStr">
        <is>
          <t>Поволжье</t>
        </is>
      </c>
      <c r="B22" s="3" t="n">
        <v>14</v>
      </c>
    </row>
    <row r="23">
      <c r="A23" t="inlineStr">
        <is>
          <t>Юг</t>
        </is>
      </c>
      <c r="B23" s="3" t="n">
        <v>14</v>
      </c>
    </row>
    <row r="24">
      <c r="A24" t="inlineStr">
        <is>
          <t>Урал</t>
        </is>
      </c>
      <c r="B24" s="3" t="n">
        <v>10</v>
      </c>
    </row>
    <row r="25">
      <c r="A25" t="inlineStr">
        <is>
          <t>Сибирь</t>
        </is>
      </c>
      <c r="B25" s="3" t="n">
        <v>8</v>
      </c>
    </row>
    <row r="26">
      <c r="A26" t="inlineStr">
        <is>
          <t>Дальний Восток</t>
        </is>
      </c>
      <c r="B26" s="3" t="n">
        <v>6</v>
      </c>
    </row>
    <row r="27">
      <c r="A27" s="2" t="inlineStr">
        <is>
          <t>Итого</t>
        </is>
      </c>
      <c r="B27">
        <f>SUM(B20:B26)</f>
        <v/>
      </c>
    </row>
    <row r="28">
      <c r="A28" s="2" t="inlineStr">
        <is>
          <t>Расстояния хаб → регион, км (по прямой × 1,3). Можно заменить своими.</t>
        </is>
      </c>
    </row>
    <row r="29">
      <c r="A29" s="4" t="inlineStr">
        <is>
          <t>Хаб</t>
        </is>
      </c>
      <c r="B29" s="4" t="inlineStr">
        <is>
          <t>Центр</t>
        </is>
      </c>
      <c r="C29" s="4" t="inlineStr">
        <is>
          <t>Северо-Запад</t>
        </is>
      </c>
      <c r="D29" s="4" t="inlineStr">
        <is>
          <t>Поволжье</t>
        </is>
      </c>
      <c r="E29" s="4" t="inlineStr">
        <is>
          <t>Юг</t>
        </is>
      </c>
      <c r="F29" s="4" t="inlineStr">
        <is>
          <t>Урал</t>
        </is>
      </c>
      <c r="G29" s="4" t="inlineStr">
        <is>
          <t>Сибирь</t>
        </is>
      </c>
      <c r="H29" s="4" t="inlineStr">
        <is>
          <t>Дальний Восток</t>
        </is>
      </c>
    </row>
    <row r="30">
      <c r="A30" t="inlineStr">
        <is>
          <t>Владивосток</t>
        </is>
      </c>
      <c r="B30" s="3" t="n">
        <v>8340</v>
      </c>
      <c r="C30" s="3" t="n">
        <v>8497</v>
      </c>
      <c r="D30" s="3" t="n">
        <v>7847</v>
      </c>
      <c r="E30" s="3" t="n">
        <v>8836</v>
      </c>
      <c r="F30" s="3" t="n">
        <v>6584</v>
      </c>
      <c r="G30" s="3" t="n">
        <v>4830</v>
      </c>
      <c r="H30" s="3" t="n">
        <v>0</v>
      </c>
    </row>
    <row r="31">
      <c r="A31" t="inlineStr">
        <is>
          <t>Новосибирск</t>
        </is>
      </c>
      <c r="B31" s="3" t="n">
        <v>3654</v>
      </c>
      <c r="C31" s="3" t="n">
        <v>4035</v>
      </c>
      <c r="D31" s="3" t="n">
        <v>3135</v>
      </c>
      <c r="E31" s="3" t="n">
        <v>4007</v>
      </c>
      <c r="F31" s="3" t="n">
        <v>1817</v>
      </c>
      <c r="G31" s="3" t="n">
        <v>0</v>
      </c>
      <c r="H31" s="3" t="n">
        <v>4830</v>
      </c>
    </row>
    <row r="32">
      <c r="A32" t="inlineStr">
        <is>
          <t>Екатеринбург</t>
        </is>
      </c>
      <c r="B32" s="3" t="n">
        <v>1842</v>
      </c>
      <c r="C32" s="3" t="n">
        <v>2315</v>
      </c>
      <c r="D32" s="3" t="n">
        <v>1321</v>
      </c>
      <c r="E32" s="3" t="n">
        <v>2305</v>
      </c>
      <c r="F32" s="3" t="n">
        <v>0</v>
      </c>
      <c r="G32" s="3" t="n">
        <v>1817</v>
      </c>
      <c r="H32" s="3" t="n">
        <v>6584</v>
      </c>
    </row>
    <row r="33">
      <c r="A33" t="inlineStr">
        <is>
          <t>Москва</t>
        </is>
      </c>
      <c r="B33" s="3" t="n">
        <v>0</v>
      </c>
      <c r="C33" s="3" t="n">
        <v>823</v>
      </c>
      <c r="D33" s="3" t="n">
        <v>522</v>
      </c>
      <c r="E33" s="3" t="n">
        <v>1247</v>
      </c>
      <c r="F33" s="3" t="n">
        <v>1842</v>
      </c>
      <c r="G33" s="3" t="n">
        <v>3654</v>
      </c>
      <c r="H33" s="3" t="n">
        <v>8340</v>
      </c>
    </row>
    <row r="34">
      <c r="A34" t="inlineStr">
        <is>
          <t>Краснодар</t>
        </is>
      </c>
      <c r="B34" s="3" t="n">
        <v>1553</v>
      </c>
      <c r="C34" s="3" t="n">
        <v>2278</v>
      </c>
      <c r="D34" s="3" t="n">
        <v>1694</v>
      </c>
      <c r="E34" s="3" t="n">
        <v>324</v>
      </c>
      <c r="F34" s="3" t="n">
        <v>2586</v>
      </c>
      <c r="G34" s="3" t="n">
        <v>4246</v>
      </c>
      <c r="H34" s="3" t="n">
        <v>9074</v>
      </c>
    </row>
    <row r="36">
      <c r="A36" s="2" t="inlineStr">
        <is>
          <t>Стоимость доставки 1 т от хаба до региона, тыс. ₽ (формулы)</t>
        </is>
      </c>
    </row>
    <row r="37">
      <c r="A37" s="4" t="inlineStr">
        <is>
          <t>Хаб</t>
        </is>
      </c>
      <c r="B37" s="4" t="inlineStr">
        <is>
          <t>Центр</t>
        </is>
      </c>
      <c r="C37" s="4" t="inlineStr">
        <is>
          <t>Северо-Запад</t>
        </is>
      </c>
      <c r="D37" s="4" t="inlineStr">
        <is>
          <t>Поволжье</t>
        </is>
      </c>
      <c r="E37" s="4" t="inlineStr">
        <is>
          <t>Юг</t>
        </is>
      </c>
      <c r="F37" s="4" t="inlineStr">
        <is>
          <t>Урал</t>
        </is>
      </c>
      <c r="G37" s="4" t="inlineStr">
        <is>
          <t>Сибирь</t>
        </is>
      </c>
      <c r="H37" s="4" t="inlineStr">
        <is>
          <t>Дальний Восток</t>
        </is>
      </c>
    </row>
    <row r="38">
      <c r="A38" t="inlineStr">
        <is>
          <t>Владивосток</t>
        </is>
      </c>
      <c r="B38" s="5">
        <f>$C$12*(1+$B$3/100)*IF(AND($B$4=1,$E$12=1),$B$8,1)+B30*$B$5+($D$12+IF(AND($B$4=1,$E$12=1),$B$9,0)+B30/$B$6)*$B$7</f>
        <v/>
      </c>
      <c r="C38" s="5">
        <f>$C$12*(1+$B$3/100)*IF(AND($B$4=1,$E$12=1),$B$8,1)+C30*$B$5+($D$12+IF(AND($B$4=1,$E$12=1),$B$9,0)+C30/$B$6)*$B$7</f>
        <v/>
      </c>
      <c r="D38" s="5">
        <f>$C$12*(1+$B$3/100)*IF(AND($B$4=1,$E$12=1),$B$8,1)+D30*$B$5+($D$12+IF(AND($B$4=1,$E$12=1),$B$9,0)+D30/$B$6)*$B$7</f>
        <v/>
      </c>
      <c r="E38" s="5">
        <f>$C$12*(1+$B$3/100)*IF(AND($B$4=1,$E$12=1),$B$8,1)+E30*$B$5+($D$12+IF(AND($B$4=1,$E$12=1),$B$9,0)+E30/$B$6)*$B$7</f>
        <v/>
      </c>
      <c r="F38" s="5">
        <f>$C$12*(1+$B$3/100)*IF(AND($B$4=1,$E$12=1),$B$8,1)+F30*$B$5+($D$12+IF(AND($B$4=1,$E$12=1),$B$9,0)+F30/$B$6)*$B$7</f>
        <v/>
      </c>
      <c r="G38" s="5">
        <f>$C$12*(1+$B$3/100)*IF(AND($B$4=1,$E$12=1),$B$8,1)+G30*$B$5+($D$12+IF(AND($B$4=1,$E$12=1),$B$9,0)+G30/$B$6)*$B$7</f>
        <v/>
      </c>
      <c r="H38" s="5">
        <f>$C$12*(1+$B$3/100)*IF(AND($B$4=1,$E$12=1),$B$8,1)+H30*$B$5+($D$12+IF(AND($B$4=1,$E$12=1),$B$9,0)+H30/$B$6)*$B$7</f>
        <v/>
      </c>
    </row>
    <row r="39">
      <c r="A39" t="inlineStr">
        <is>
          <t>Новосибирск</t>
        </is>
      </c>
      <c r="B39" s="5">
        <f>$C$13*(1+$B$3/100)*IF(AND($B$4=1,$E$13=1),$B$8,1)+B31*$B$5+($D$13+IF(AND($B$4=1,$E$13=1),$B$9,0)+B31/$B$6)*$B$7</f>
        <v/>
      </c>
      <c r="C39" s="5">
        <f>$C$13*(1+$B$3/100)*IF(AND($B$4=1,$E$13=1),$B$8,1)+C31*$B$5+($D$13+IF(AND($B$4=1,$E$13=1),$B$9,0)+C31/$B$6)*$B$7</f>
        <v/>
      </c>
      <c r="D39" s="5">
        <f>$C$13*(1+$B$3/100)*IF(AND($B$4=1,$E$13=1),$B$8,1)+D31*$B$5+($D$13+IF(AND($B$4=1,$E$13=1),$B$9,0)+D31/$B$6)*$B$7</f>
        <v/>
      </c>
      <c r="E39" s="5">
        <f>$C$13*(1+$B$3/100)*IF(AND($B$4=1,$E$13=1),$B$8,1)+E31*$B$5+($D$13+IF(AND($B$4=1,$E$13=1),$B$9,0)+E31/$B$6)*$B$7</f>
        <v/>
      </c>
      <c r="F39" s="5">
        <f>$C$13*(1+$B$3/100)*IF(AND($B$4=1,$E$13=1),$B$8,1)+F31*$B$5+($D$13+IF(AND($B$4=1,$E$13=1),$B$9,0)+F31/$B$6)*$B$7</f>
        <v/>
      </c>
      <c r="G39" s="5">
        <f>$C$13*(1+$B$3/100)*IF(AND($B$4=1,$E$13=1),$B$8,1)+G31*$B$5+($D$13+IF(AND($B$4=1,$E$13=1),$B$9,0)+G31/$B$6)*$B$7</f>
        <v/>
      </c>
      <c r="H39" s="5">
        <f>$C$13*(1+$B$3/100)*IF(AND($B$4=1,$E$13=1),$B$8,1)+H31*$B$5+($D$13+IF(AND($B$4=1,$E$13=1),$B$9,0)+H31/$B$6)*$B$7</f>
        <v/>
      </c>
    </row>
    <row r="40">
      <c r="A40" t="inlineStr">
        <is>
          <t>Екатеринбург</t>
        </is>
      </c>
      <c r="B40" s="5">
        <f>$C$14*(1+$B$3/100)*IF(AND($B$4=1,$E$14=1),$B$8,1)+B32*$B$5+($D$14+IF(AND($B$4=1,$E$14=1),$B$9,0)+B32/$B$6)*$B$7</f>
        <v/>
      </c>
      <c r="C40" s="5">
        <f>$C$14*(1+$B$3/100)*IF(AND($B$4=1,$E$14=1),$B$8,1)+C32*$B$5+($D$14+IF(AND($B$4=1,$E$14=1),$B$9,0)+C32/$B$6)*$B$7</f>
        <v/>
      </c>
      <c r="D40" s="5">
        <f>$C$14*(1+$B$3/100)*IF(AND($B$4=1,$E$14=1),$B$8,1)+D32*$B$5+($D$14+IF(AND($B$4=1,$E$14=1),$B$9,0)+D32/$B$6)*$B$7</f>
        <v/>
      </c>
      <c r="E40" s="5">
        <f>$C$14*(1+$B$3/100)*IF(AND($B$4=1,$E$14=1),$B$8,1)+E32*$B$5+($D$14+IF(AND($B$4=1,$E$14=1),$B$9,0)+E32/$B$6)*$B$7</f>
        <v/>
      </c>
      <c r="F40" s="5">
        <f>$C$14*(1+$B$3/100)*IF(AND($B$4=1,$E$14=1),$B$8,1)+F32*$B$5+($D$14+IF(AND($B$4=1,$E$14=1),$B$9,0)+F32/$B$6)*$B$7</f>
        <v/>
      </c>
      <c r="G40" s="5">
        <f>$C$14*(1+$B$3/100)*IF(AND($B$4=1,$E$14=1),$B$8,1)+G32*$B$5+($D$14+IF(AND($B$4=1,$E$14=1),$B$9,0)+G32/$B$6)*$B$7</f>
        <v/>
      </c>
      <c r="H40" s="5">
        <f>$C$14*(1+$B$3/100)*IF(AND($B$4=1,$E$14=1),$B$8,1)+H32*$B$5+($D$14+IF(AND($B$4=1,$E$14=1),$B$9,0)+H32/$B$6)*$B$7</f>
        <v/>
      </c>
    </row>
    <row r="41">
      <c r="A41" t="inlineStr">
        <is>
          <t>Москва</t>
        </is>
      </c>
      <c r="B41" s="5">
        <f>$C$15*(1+$B$3/100)*IF(AND($B$4=1,$E$15=1),$B$8,1)+B33*$B$5+($D$15+IF(AND($B$4=1,$E$15=1),$B$9,0)+B33/$B$6)*$B$7</f>
        <v/>
      </c>
      <c r="C41" s="5">
        <f>$C$15*(1+$B$3/100)*IF(AND($B$4=1,$E$15=1),$B$8,1)+C33*$B$5+($D$15+IF(AND($B$4=1,$E$15=1),$B$9,0)+C33/$B$6)*$B$7</f>
        <v/>
      </c>
      <c r="D41" s="5">
        <f>$C$15*(1+$B$3/100)*IF(AND($B$4=1,$E$15=1),$B$8,1)+D33*$B$5+($D$15+IF(AND($B$4=1,$E$15=1),$B$9,0)+D33/$B$6)*$B$7</f>
        <v/>
      </c>
      <c r="E41" s="5">
        <f>$C$15*(1+$B$3/100)*IF(AND($B$4=1,$E$15=1),$B$8,1)+E33*$B$5+($D$15+IF(AND($B$4=1,$E$15=1),$B$9,0)+E33/$B$6)*$B$7</f>
        <v/>
      </c>
      <c r="F41" s="5">
        <f>$C$15*(1+$B$3/100)*IF(AND($B$4=1,$E$15=1),$B$8,1)+F33*$B$5+($D$15+IF(AND($B$4=1,$E$15=1),$B$9,0)+F33/$B$6)*$B$7</f>
        <v/>
      </c>
      <c r="G41" s="5">
        <f>$C$15*(1+$B$3/100)*IF(AND($B$4=1,$E$15=1),$B$8,1)+G33*$B$5+($D$15+IF(AND($B$4=1,$E$15=1),$B$9,0)+G33/$B$6)*$B$7</f>
        <v/>
      </c>
      <c r="H41" s="5">
        <f>$C$15*(1+$B$3/100)*IF(AND($B$4=1,$E$15=1),$B$8,1)+H33*$B$5+($D$15+IF(AND($B$4=1,$E$15=1),$B$9,0)+H33/$B$6)*$B$7</f>
        <v/>
      </c>
    </row>
    <row r="42">
      <c r="A42" t="inlineStr">
        <is>
          <t>Краснодар</t>
        </is>
      </c>
      <c r="B42" s="5">
        <f>$C$16*(1+$B$3/100)*IF(AND($B$4=1,$E$16=1),$B$8,1)+B34*$B$5+($D$16+IF(AND($B$4=1,$E$16=1),$B$9,0)+B34/$B$6)*$B$7</f>
        <v/>
      </c>
      <c r="C42" s="5">
        <f>$C$16*(1+$B$3/100)*IF(AND($B$4=1,$E$16=1),$B$8,1)+C34*$B$5+($D$16+IF(AND($B$4=1,$E$16=1),$B$9,0)+C34/$B$6)*$B$7</f>
        <v/>
      </c>
      <c r="D42" s="5">
        <f>$C$16*(1+$B$3/100)*IF(AND($B$4=1,$E$16=1),$B$8,1)+D34*$B$5+($D$16+IF(AND($B$4=1,$E$16=1),$B$9,0)+D34/$B$6)*$B$7</f>
        <v/>
      </c>
      <c r="E42" s="5">
        <f>$C$16*(1+$B$3/100)*IF(AND($B$4=1,$E$16=1),$B$8,1)+E34*$B$5+($D$16+IF(AND($B$4=1,$E$16=1),$B$9,0)+E34/$B$6)*$B$7</f>
        <v/>
      </c>
      <c r="F42" s="5">
        <f>$C$16*(1+$B$3/100)*IF(AND($B$4=1,$E$16=1),$B$8,1)+F34*$B$5+($D$16+IF(AND($B$4=1,$E$16=1),$B$9,0)+F34/$B$6)*$B$7</f>
        <v/>
      </c>
      <c r="G42" s="5">
        <f>$C$16*(1+$B$3/100)*IF(AND($B$4=1,$E$16=1),$B$8,1)+G34*$B$5+($D$16+IF(AND($B$4=1,$E$16=1),$B$9,0)+G34/$B$6)*$B$7</f>
        <v/>
      </c>
      <c r="H42" s="5">
        <f>$C$16*(1+$B$3/100)*IF(AND($B$4=1,$E$16=1),$B$8,1)+H34*$B$5+($D$16+IF(AND($B$4=1,$E$16=1),$B$9,0)+H34/$B$6)*$B$7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48" customWidth="1" min="17" max="17"/>
  </cols>
  <sheetData>
    <row r="1" ht="45" customHeight="1">
      <c r="A1" s="4" t="inlineStr">
        <is>
          <t>№</t>
        </is>
      </c>
      <c r="B1" s="4" t="inlineStr">
        <is>
          <t>Владивосток</t>
        </is>
      </c>
      <c r="C1" s="4" t="inlineStr">
        <is>
          <t>Новосибирск</t>
        </is>
      </c>
      <c r="D1" s="4" t="inlineStr">
        <is>
          <t>Екатеринбург</t>
        </is>
      </c>
      <c r="E1" s="4" t="inlineStr">
        <is>
          <t>Москва</t>
        </is>
      </c>
      <c r="F1" s="4" t="inlineStr">
        <is>
          <t>Краснодар</t>
        </is>
      </c>
      <c r="G1" s="4" t="inlineStr">
        <is>
          <t>Ст-ть: Центр, тыс. ₽/т</t>
        </is>
      </c>
      <c r="H1" s="4" t="inlineStr">
        <is>
          <t>Ст-ть: Северо-Запад, тыс. ₽/т</t>
        </is>
      </c>
      <c r="I1" s="4" t="inlineStr">
        <is>
          <t>Ст-ть: Поволжье, тыс. ₽/т</t>
        </is>
      </c>
      <c r="J1" s="4" t="inlineStr">
        <is>
          <t>Ст-ть: Юг, тыс. ₽/т</t>
        </is>
      </c>
      <c r="K1" s="4" t="inlineStr">
        <is>
          <t>Ст-ть: Урал, тыс. ₽/т</t>
        </is>
      </c>
      <c r="L1" s="4" t="inlineStr">
        <is>
          <t>Ст-ть: Сибирь, тыс. ₽/т</t>
        </is>
      </c>
      <c r="M1" s="4" t="inlineStr">
        <is>
          <t>Ст-ть: Дальний Восток, тыс. ₽/т</t>
        </is>
      </c>
      <c r="N1" s="4" t="inlineStr">
        <is>
          <t>Хранение, млн ₽</t>
        </is>
      </c>
      <c r="O1" s="4" t="inlineStr">
        <is>
          <t>Доставка, млн ₽</t>
        </is>
      </c>
      <c r="P1" s="4" t="inlineStr">
        <is>
          <t>Итого, млн ₽</t>
        </is>
      </c>
      <c r="Q1" s="4" t="inlineStr">
        <is>
          <t>Сеть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s="6">
        <f>MIN(IF($B2=1,'Данные'!B$38,1000000),IF($C2=1,'Данные'!B$39,1000000),IF($D2=1,'Данные'!B$40,1000000),IF($E2=1,'Данные'!B$41,1000000),IF($F2=1,'Данные'!B$42,1000000))</f>
        <v/>
      </c>
      <c r="H2" s="6">
        <f>MIN(IF($B2=1,'Данные'!C$38,1000000),IF($C2=1,'Данные'!C$39,1000000),IF($D2=1,'Данные'!C$40,1000000),IF($E2=1,'Данные'!C$41,1000000),IF($F2=1,'Данные'!C$42,1000000))</f>
        <v/>
      </c>
      <c r="I2" s="6">
        <f>MIN(IF($B2=1,'Данные'!D$38,1000000),IF($C2=1,'Данные'!D$39,1000000),IF($D2=1,'Данные'!D$40,1000000),IF($E2=1,'Данные'!D$41,1000000),IF($F2=1,'Данные'!D$42,1000000))</f>
        <v/>
      </c>
      <c r="J2" s="6">
        <f>MIN(IF($B2=1,'Данные'!E$38,1000000),IF($C2=1,'Данные'!E$39,1000000),IF($D2=1,'Данные'!E$40,1000000),IF($E2=1,'Данные'!E$41,1000000),IF($F2=1,'Данные'!E$42,1000000))</f>
        <v/>
      </c>
      <c r="K2" s="6">
        <f>MIN(IF($B2=1,'Данные'!F$38,1000000),IF($C2=1,'Данные'!F$39,1000000),IF($D2=1,'Данные'!F$40,1000000),IF($E2=1,'Данные'!F$41,1000000),IF($F2=1,'Данные'!F$42,1000000))</f>
        <v/>
      </c>
      <c r="L2" s="6">
        <f>MIN(IF($B2=1,'Данные'!G$38,1000000),IF($C2=1,'Данные'!G$39,1000000),IF($D2=1,'Данные'!G$40,1000000),IF($E2=1,'Данные'!G$41,1000000),IF($F2=1,'Данные'!G$42,1000000))</f>
        <v/>
      </c>
      <c r="M2" s="6">
        <f>MIN(IF($B2=1,'Данные'!H$38,1000000),IF($C2=1,'Данные'!H$39,1000000),IF($D2=1,'Данные'!H$40,1000000),IF($E2=1,'Данные'!H$41,1000000),IF($F2=1,'Данные'!H$42,1000000))</f>
        <v/>
      </c>
      <c r="N2" s="7">
        <f>B2*'Данные'!$B$12+C2*'Данные'!$B$13+D2*'Данные'!$B$14+E2*'Данные'!$B$15+F2*'Данные'!$B$16</f>
        <v/>
      </c>
      <c r="O2" s="7">
        <f>G2*'Данные'!$B$20+H2*'Данные'!$B$21+I2*'Данные'!$B$22+J2*'Данные'!$B$23+K2*'Данные'!$B$24+L2*'Данные'!$B$25+M2*'Данные'!$B$26</f>
        <v/>
      </c>
      <c r="P2" s="8">
        <f>N2+O2</f>
        <v/>
      </c>
      <c r="Q2">
        <f>SUBSTITUTE(TRIM(IF(B2=1,"Владивосток ","")&amp;IF(C2=1,"Новосибирск ","")&amp;IF(D2=1,"Екатеринбург ","")&amp;IF(E2=1,"Москва ","")&amp;IF(F2=1,"Краснодар ",""))," ",", ")</f>
        <v/>
      </c>
    </row>
    <row r="3">
      <c r="A3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s="6">
        <f>MIN(IF($B3=1,'Данные'!B$38,1000000),IF($C3=1,'Данные'!B$39,1000000),IF($D3=1,'Данные'!B$40,1000000),IF($E3=1,'Данные'!B$41,1000000),IF($F3=1,'Данные'!B$42,1000000))</f>
        <v/>
      </c>
      <c r="H3" s="6">
        <f>MIN(IF($B3=1,'Данные'!C$38,1000000),IF($C3=1,'Данные'!C$39,1000000),IF($D3=1,'Данные'!C$40,1000000),IF($E3=1,'Данные'!C$41,1000000),IF($F3=1,'Данные'!C$42,1000000))</f>
        <v/>
      </c>
      <c r="I3" s="6">
        <f>MIN(IF($B3=1,'Данные'!D$38,1000000),IF($C3=1,'Данные'!D$39,1000000),IF($D3=1,'Данные'!D$40,1000000),IF($E3=1,'Данные'!D$41,1000000),IF($F3=1,'Данные'!D$42,1000000))</f>
        <v/>
      </c>
      <c r="J3" s="6">
        <f>MIN(IF($B3=1,'Данные'!E$38,1000000),IF($C3=1,'Данные'!E$39,1000000),IF($D3=1,'Данные'!E$40,1000000),IF($E3=1,'Данные'!E$41,1000000),IF($F3=1,'Данные'!E$42,1000000))</f>
        <v/>
      </c>
      <c r="K3" s="6">
        <f>MIN(IF($B3=1,'Данные'!F$38,1000000),IF($C3=1,'Данные'!F$39,1000000),IF($D3=1,'Данные'!F$40,1000000),IF($E3=1,'Данные'!F$41,1000000),IF($F3=1,'Данные'!F$42,1000000))</f>
        <v/>
      </c>
      <c r="L3" s="6">
        <f>MIN(IF($B3=1,'Данные'!G$38,1000000),IF($C3=1,'Данные'!G$39,1000000),IF($D3=1,'Данные'!G$40,1000000),IF($E3=1,'Данные'!G$41,1000000),IF($F3=1,'Данные'!G$42,1000000))</f>
        <v/>
      </c>
      <c r="M3" s="6">
        <f>MIN(IF($B3=1,'Данные'!H$38,1000000),IF($C3=1,'Данные'!H$39,1000000),IF($D3=1,'Данные'!H$40,1000000),IF($E3=1,'Данные'!H$41,1000000),IF($F3=1,'Данные'!H$42,1000000))</f>
        <v/>
      </c>
      <c r="N3" s="7">
        <f>B3*'Данные'!$B$12+C3*'Данные'!$B$13+D3*'Данные'!$B$14+E3*'Данные'!$B$15+F3*'Данные'!$B$16</f>
        <v/>
      </c>
      <c r="O3" s="7">
        <f>G3*'Данные'!$B$20+H3*'Данные'!$B$21+I3*'Данные'!$B$22+J3*'Данные'!$B$23+K3*'Данные'!$B$24+L3*'Данные'!$B$25+M3*'Данные'!$B$26</f>
        <v/>
      </c>
      <c r="P3" s="8">
        <f>N3+O3</f>
        <v/>
      </c>
      <c r="Q3">
        <f>SUBSTITUTE(TRIM(IF(B3=1,"Владивосток ","")&amp;IF(C3=1,"Новосибирск ","")&amp;IF(D3=1,"Екатеринбург ","")&amp;IF(E3=1,"Москва ","")&amp;IF(F3=1,"Краснодар ",""))," ",", ")</f>
        <v/>
      </c>
    </row>
    <row r="4">
      <c r="A4" t="n">
        <v>3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s="6">
        <f>MIN(IF($B4=1,'Данные'!B$38,1000000),IF($C4=1,'Данные'!B$39,1000000),IF($D4=1,'Данные'!B$40,1000000),IF($E4=1,'Данные'!B$41,1000000),IF($F4=1,'Данные'!B$42,1000000))</f>
        <v/>
      </c>
      <c r="H4" s="6">
        <f>MIN(IF($B4=1,'Данные'!C$38,1000000),IF($C4=1,'Данные'!C$39,1000000),IF($D4=1,'Данные'!C$40,1000000),IF($E4=1,'Данные'!C$41,1000000),IF($F4=1,'Данные'!C$42,1000000))</f>
        <v/>
      </c>
      <c r="I4" s="6">
        <f>MIN(IF($B4=1,'Данные'!D$38,1000000),IF($C4=1,'Данные'!D$39,1000000),IF($D4=1,'Данные'!D$40,1000000),IF($E4=1,'Данные'!D$41,1000000),IF($F4=1,'Данные'!D$42,1000000))</f>
        <v/>
      </c>
      <c r="J4" s="6">
        <f>MIN(IF($B4=1,'Данные'!E$38,1000000),IF($C4=1,'Данные'!E$39,1000000),IF($D4=1,'Данные'!E$40,1000000),IF($E4=1,'Данные'!E$41,1000000),IF($F4=1,'Данные'!E$42,1000000))</f>
        <v/>
      </c>
      <c r="K4" s="6">
        <f>MIN(IF($B4=1,'Данные'!F$38,1000000),IF($C4=1,'Данные'!F$39,1000000),IF($D4=1,'Данные'!F$40,1000000),IF($E4=1,'Данные'!F$41,1000000),IF($F4=1,'Данные'!F$42,1000000))</f>
        <v/>
      </c>
      <c r="L4" s="6">
        <f>MIN(IF($B4=1,'Данные'!G$38,1000000),IF($C4=1,'Данные'!G$39,1000000),IF($D4=1,'Данные'!G$40,1000000),IF($E4=1,'Данные'!G$41,1000000),IF($F4=1,'Данные'!G$42,1000000))</f>
        <v/>
      </c>
      <c r="M4" s="6">
        <f>MIN(IF($B4=1,'Данные'!H$38,1000000),IF($C4=1,'Данные'!H$39,1000000),IF($D4=1,'Данные'!H$40,1000000),IF($E4=1,'Данные'!H$41,1000000),IF($F4=1,'Данные'!H$42,1000000))</f>
        <v/>
      </c>
      <c r="N4" s="7">
        <f>B4*'Данные'!$B$12+C4*'Данные'!$B$13+D4*'Данные'!$B$14+E4*'Данные'!$B$15+F4*'Данные'!$B$16</f>
        <v/>
      </c>
      <c r="O4" s="7">
        <f>G4*'Данные'!$B$20+H4*'Данные'!$B$21+I4*'Данные'!$B$22+J4*'Данные'!$B$23+K4*'Данные'!$B$24+L4*'Данные'!$B$25+M4*'Данные'!$B$26</f>
        <v/>
      </c>
      <c r="P4" s="8">
        <f>N4+O4</f>
        <v/>
      </c>
      <c r="Q4">
        <f>SUBSTITUTE(TRIM(IF(B4=1,"Владивосток ","")&amp;IF(C4=1,"Новосибирск ","")&amp;IF(D4=1,"Екатеринбург ","")&amp;IF(E4=1,"Москва ","")&amp;IF(F4=1,"Краснодар ",""))," ",", ")</f>
        <v/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s="6">
        <f>MIN(IF($B5=1,'Данные'!B$38,1000000),IF($C5=1,'Данные'!B$39,1000000),IF($D5=1,'Данные'!B$40,1000000),IF($E5=1,'Данные'!B$41,1000000),IF($F5=1,'Данные'!B$42,1000000))</f>
        <v/>
      </c>
      <c r="H5" s="6">
        <f>MIN(IF($B5=1,'Данные'!C$38,1000000),IF($C5=1,'Данные'!C$39,1000000),IF($D5=1,'Данные'!C$40,1000000),IF($E5=1,'Данные'!C$41,1000000),IF($F5=1,'Данные'!C$42,1000000))</f>
        <v/>
      </c>
      <c r="I5" s="6">
        <f>MIN(IF($B5=1,'Данные'!D$38,1000000),IF($C5=1,'Данные'!D$39,1000000),IF($D5=1,'Данные'!D$40,1000000),IF($E5=1,'Данные'!D$41,1000000),IF($F5=1,'Данные'!D$42,1000000))</f>
        <v/>
      </c>
      <c r="J5" s="6">
        <f>MIN(IF($B5=1,'Данные'!E$38,1000000),IF($C5=1,'Данные'!E$39,1000000),IF($D5=1,'Данные'!E$40,1000000),IF($E5=1,'Данные'!E$41,1000000),IF($F5=1,'Данные'!E$42,1000000))</f>
        <v/>
      </c>
      <c r="K5" s="6">
        <f>MIN(IF($B5=1,'Данные'!F$38,1000000),IF($C5=1,'Данные'!F$39,1000000),IF($D5=1,'Данные'!F$40,1000000),IF($E5=1,'Данные'!F$41,1000000),IF($F5=1,'Данные'!F$42,1000000))</f>
        <v/>
      </c>
      <c r="L5" s="6">
        <f>MIN(IF($B5=1,'Данные'!G$38,1000000),IF($C5=1,'Данные'!G$39,1000000),IF($D5=1,'Данные'!G$40,1000000),IF($E5=1,'Данные'!G$41,1000000),IF($F5=1,'Данные'!G$42,1000000))</f>
        <v/>
      </c>
      <c r="M5" s="6">
        <f>MIN(IF($B5=1,'Данные'!H$38,1000000),IF($C5=1,'Данные'!H$39,1000000),IF($D5=1,'Данные'!H$40,1000000),IF($E5=1,'Данные'!H$41,1000000),IF($F5=1,'Данные'!H$42,1000000))</f>
        <v/>
      </c>
      <c r="N5" s="7">
        <f>B5*'Данные'!$B$12+C5*'Данные'!$B$13+D5*'Данные'!$B$14+E5*'Данные'!$B$15+F5*'Данные'!$B$16</f>
        <v/>
      </c>
      <c r="O5" s="7">
        <f>G5*'Данные'!$B$20+H5*'Данные'!$B$21+I5*'Данные'!$B$22+J5*'Данные'!$B$23+K5*'Данные'!$B$24+L5*'Данные'!$B$25+M5*'Данные'!$B$26</f>
        <v/>
      </c>
      <c r="P5" s="8">
        <f>N5+O5</f>
        <v/>
      </c>
      <c r="Q5">
        <f>SUBSTITUTE(TRIM(IF(B5=1,"Владивосток ","")&amp;IF(C5=1,"Новосибирск ","")&amp;IF(D5=1,"Екатеринбург ","")&amp;IF(E5=1,"Москва ","")&amp;IF(F5=1,"Краснодар ",""))," ",", ")</f>
        <v/>
      </c>
    </row>
    <row r="6">
      <c r="A6" t="n">
        <v>5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s="6">
        <f>MIN(IF($B6=1,'Данные'!B$38,1000000),IF($C6=1,'Данные'!B$39,1000000),IF($D6=1,'Данные'!B$40,1000000),IF($E6=1,'Данные'!B$41,1000000),IF($F6=1,'Данные'!B$42,1000000))</f>
        <v/>
      </c>
      <c r="H6" s="6">
        <f>MIN(IF($B6=1,'Данные'!C$38,1000000),IF($C6=1,'Данные'!C$39,1000000),IF($D6=1,'Данные'!C$40,1000000),IF($E6=1,'Данные'!C$41,1000000),IF($F6=1,'Данные'!C$42,1000000))</f>
        <v/>
      </c>
      <c r="I6" s="6">
        <f>MIN(IF($B6=1,'Данные'!D$38,1000000),IF($C6=1,'Данные'!D$39,1000000),IF($D6=1,'Данные'!D$40,1000000),IF($E6=1,'Данные'!D$41,1000000),IF($F6=1,'Данные'!D$42,1000000))</f>
        <v/>
      </c>
      <c r="J6" s="6">
        <f>MIN(IF($B6=1,'Данные'!E$38,1000000),IF($C6=1,'Данные'!E$39,1000000),IF($D6=1,'Данные'!E$40,1000000),IF($E6=1,'Данные'!E$41,1000000),IF($F6=1,'Данные'!E$42,1000000))</f>
        <v/>
      </c>
      <c r="K6" s="6">
        <f>MIN(IF($B6=1,'Данные'!F$38,1000000),IF($C6=1,'Данные'!F$39,1000000),IF($D6=1,'Данные'!F$40,1000000),IF($E6=1,'Данные'!F$41,1000000),IF($F6=1,'Данные'!F$42,1000000))</f>
        <v/>
      </c>
      <c r="L6" s="6">
        <f>MIN(IF($B6=1,'Данные'!G$38,1000000),IF($C6=1,'Данные'!G$39,1000000),IF($D6=1,'Данные'!G$40,1000000),IF($E6=1,'Данные'!G$41,1000000),IF($F6=1,'Данные'!G$42,1000000))</f>
        <v/>
      </c>
      <c r="M6" s="6">
        <f>MIN(IF($B6=1,'Данные'!H$38,1000000),IF($C6=1,'Данные'!H$39,1000000),IF($D6=1,'Данные'!H$40,1000000),IF($E6=1,'Данные'!H$41,1000000),IF($F6=1,'Данные'!H$42,1000000))</f>
        <v/>
      </c>
      <c r="N6" s="7">
        <f>B6*'Данные'!$B$12+C6*'Данные'!$B$13+D6*'Данные'!$B$14+E6*'Данные'!$B$15+F6*'Данные'!$B$16</f>
        <v/>
      </c>
      <c r="O6" s="7">
        <f>G6*'Данные'!$B$20+H6*'Данные'!$B$21+I6*'Данные'!$B$22+J6*'Данные'!$B$23+K6*'Данные'!$B$24+L6*'Данные'!$B$25+M6*'Данные'!$B$26</f>
        <v/>
      </c>
      <c r="P6" s="8">
        <f>N6+O6</f>
        <v/>
      </c>
      <c r="Q6">
        <f>SUBSTITUTE(TRIM(IF(B6=1,"Владивосток ","")&amp;IF(C6=1,"Новосибирск ","")&amp;IF(D6=1,"Екатеринбург ","")&amp;IF(E6=1,"Москва ","")&amp;IF(F6=1,"Краснодар ",""))," ",", ")</f>
        <v/>
      </c>
    </row>
    <row r="7">
      <c r="A7" t="n">
        <v>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s="6">
        <f>MIN(IF($B7=1,'Данные'!B$38,1000000),IF($C7=1,'Данные'!B$39,1000000),IF($D7=1,'Данные'!B$40,1000000),IF($E7=1,'Данные'!B$41,1000000),IF($F7=1,'Данные'!B$42,1000000))</f>
        <v/>
      </c>
      <c r="H7" s="6">
        <f>MIN(IF($B7=1,'Данные'!C$38,1000000),IF($C7=1,'Данные'!C$39,1000000),IF($D7=1,'Данные'!C$40,1000000),IF($E7=1,'Данные'!C$41,1000000),IF($F7=1,'Данные'!C$42,1000000))</f>
        <v/>
      </c>
      <c r="I7" s="6">
        <f>MIN(IF($B7=1,'Данные'!D$38,1000000),IF($C7=1,'Данные'!D$39,1000000),IF($D7=1,'Данные'!D$40,1000000),IF($E7=1,'Данные'!D$41,1000000),IF($F7=1,'Данные'!D$42,1000000))</f>
        <v/>
      </c>
      <c r="J7" s="6">
        <f>MIN(IF($B7=1,'Данные'!E$38,1000000),IF($C7=1,'Данные'!E$39,1000000),IF($D7=1,'Данные'!E$40,1000000),IF($E7=1,'Данные'!E$41,1000000),IF($F7=1,'Данные'!E$42,1000000))</f>
        <v/>
      </c>
      <c r="K7" s="6">
        <f>MIN(IF($B7=1,'Данные'!F$38,1000000),IF($C7=1,'Данные'!F$39,1000000),IF($D7=1,'Данные'!F$40,1000000),IF($E7=1,'Данные'!F$41,1000000),IF($F7=1,'Данные'!F$42,1000000))</f>
        <v/>
      </c>
      <c r="L7" s="6">
        <f>MIN(IF($B7=1,'Данные'!G$38,1000000),IF($C7=1,'Данные'!G$39,1000000),IF($D7=1,'Данные'!G$40,1000000),IF($E7=1,'Данные'!G$41,1000000),IF($F7=1,'Данные'!G$42,1000000))</f>
        <v/>
      </c>
      <c r="M7" s="6">
        <f>MIN(IF($B7=1,'Данные'!H$38,1000000),IF($C7=1,'Данные'!H$39,1000000),IF($D7=1,'Данные'!H$40,1000000),IF($E7=1,'Данные'!H$41,1000000),IF($F7=1,'Данные'!H$42,1000000))</f>
        <v/>
      </c>
      <c r="N7" s="7">
        <f>B7*'Данные'!$B$12+C7*'Данные'!$B$13+D7*'Данные'!$B$14+E7*'Данные'!$B$15+F7*'Данные'!$B$16</f>
        <v/>
      </c>
      <c r="O7" s="7">
        <f>G7*'Данные'!$B$20+H7*'Данные'!$B$21+I7*'Данные'!$B$22+J7*'Данные'!$B$23+K7*'Данные'!$B$24+L7*'Данные'!$B$25+M7*'Данные'!$B$26</f>
        <v/>
      </c>
      <c r="P7" s="8">
        <f>N7+O7</f>
        <v/>
      </c>
      <c r="Q7">
        <f>SUBSTITUTE(TRIM(IF(B7=1,"Владивосток ","")&amp;IF(C7=1,"Новосибирск ","")&amp;IF(D7=1,"Екатеринбург ","")&amp;IF(E7=1,"Москва ","")&amp;IF(F7=1,"Краснодар ",""))," ",", ")</f>
        <v/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s="6">
        <f>MIN(IF($B8=1,'Данные'!B$38,1000000),IF($C8=1,'Данные'!B$39,1000000),IF($D8=1,'Данные'!B$40,1000000),IF($E8=1,'Данные'!B$41,1000000),IF($F8=1,'Данные'!B$42,1000000))</f>
        <v/>
      </c>
      <c r="H8" s="6">
        <f>MIN(IF($B8=1,'Данные'!C$38,1000000),IF($C8=1,'Данные'!C$39,1000000),IF($D8=1,'Данные'!C$40,1000000),IF($E8=1,'Данные'!C$41,1000000),IF($F8=1,'Данные'!C$42,1000000))</f>
        <v/>
      </c>
      <c r="I8" s="6">
        <f>MIN(IF($B8=1,'Данные'!D$38,1000000),IF($C8=1,'Данные'!D$39,1000000),IF($D8=1,'Данные'!D$40,1000000),IF($E8=1,'Данные'!D$41,1000000),IF($F8=1,'Данные'!D$42,1000000))</f>
        <v/>
      </c>
      <c r="J8" s="6">
        <f>MIN(IF($B8=1,'Данные'!E$38,1000000),IF($C8=1,'Данные'!E$39,1000000),IF($D8=1,'Данные'!E$40,1000000),IF($E8=1,'Данные'!E$41,1000000),IF($F8=1,'Данные'!E$42,1000000))</f>
        <v/>
      </c>
      <c r="K8" s="6">
        <f>MIN(IF($B8=1,'Данные'!F$38,1000000),IF($C8=1,'Данные'!F$39,1000000),IF($D8=1,'Данные'!F$40,1000000),IF($E8=1,'Данные'!F$41,1000000),IF($F8=1,'Данные'!F$42,1000000))</f>
        <v/>
      </c>
      <c r="L8" s="6">
        <f>MIN(IF($B8=1,'Данные'!G$38,1000000),IF($C8=1,'Данные'!G$39,1000000),IF($D8=1,'Данные'!G$40,1000000),IF($E8=1,'Данные'!G$41,1000000),IF($F8=1,'Данные'!G$42,1000000))</f>
        <v/>
      </c>
      <c r="M8" s="6">
        <f>MIN(IF($B8=1,'Данные'!H$38,1000000),IF($C8=1,'Данные'!H$39,1000000),IF($D8=1,'Данные'!H$40,1000000),IF($E8=1,'Данные'!H$41,1000000),IF($F8=1,'Данные'!H$42,1000000))</f>
        <v/>
      </c>
      <c r="N8" s="7">
        <f>B8*'Данные'!$B$12+C8*'Данные'!$B$13+D8*'Данные'!$B$14+E8*'Данные'!$B$15+F8*'Данные'!$B$16</f>
        <v/>
      </c>
      <c r="O8" s="7">
        <f>G8*'Данные'!$B$20+H8*'Данные'!$B$21+I8*'Данные'!$B$22+J8*'Данные'!$B$23+K8*'Данные'!$B$24+L8*'Данные'!$B$25+M8*'Данные'!$B$26</f>
        <v/>
      </c>
      <c r="P8" s="8">
        <f>N8+O8</f>
        <v/>
      </c>
      <c r="Q8">
        <f>SUBSTITUTE(TRIM(IF(B8=1,"Владивосток ","")&amp;IF(C8=1,"Новосибирск ","")&amp;IF(D8=1,"Екатеринбург ","")&amp;IF(E8=1,"Москва ","")&amp;IF(F8=1,"Краснодар ",""))," ",", ")</f>
        <v/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s="6">
        <f>MIN(IF($B9=1,'Данные'!B$38,1000000),IF($C9=1,'Данные'!B$39,1000000),IF($D9=1,'Данные'!B$40,1000000),IF($E9=1,'Данные'!B$41,1000000),IF($F9=1,'Данные'!B$42,1000000))</f>
        <v/>
      </c>
      <c r="H9" s="6">
        <f>MIN(IF($B9=1,'Данные'!C$38,1000000),IF($C9=1,'Данные'!C$39,1000000),IF($D9=1,'Данные'!C$40,1000000),IF($E9=1,'Данные'!C$41,1000000),IF($F9=1,'Данные'!C$42,1000000))</f>
        <v/>
      </c>
      <c r="I9" s="6">
        <f>MIN(IF($B9=1,'Данные'!D$38,1000000),IF($C9=1,'Данные'!D$39,1000000),IF($D9=1,'Данные'!D$40,1000000),IF($E9=1,'Данные'!D$41,1000000),IF($F9=1,'Данные'!D$42,1000000))</f>
        <v/>
      </c>
      <c r="J9" s="6">
        <f>MIN(IF($B9=1,'Данные'!E$38,1000000),IF($C9=1,'Данные'!E$39,1000000),IF($D9=1,'Данные'!E$40,1000000),IF($E9=1,'Данные'!E$41,1000000),IF($F9=1,'Данные'!E$42,1000000))</f>
        <v/>
      </c>
      <c r="K9" s="6">
        <f>MIN(IF($B9=1,'Данные'!F$38,1000000),IF($C9=1,'Данные'!F$39,1000000),IF($D9=1,'Данные'!F$40,1000000),IF($E9=1,'Данные'!F$41,1000000),IF($F9=1,'Данные'!F$42,1000000))</f>
        <v/>
      </c>
      <c r="L9" s="6">
        <f>MIN(IF($B9=1,'Данные'!G$38,1000000),IF($C9=1,'Данные'!G$39,1000000),IF($D9=1,'Данные'!G$40,1000000),IF($E9=1,'Данные'!G$41,1000000),IF($F9=1,'Данные'!G$42,1000000))</f>
        <v/>
      </c>
      <c r="M9" s="6">
        <f>MIN(IF($B9=1,'Данные'!H$38,1000000),IF($C9=1,'Данные'!H$39,1000000),IF($D9=1,'Данные'!H$40,1000000),IF($E9=1,'Данные'!H$41,1000000),IF($F9=1,'Данные'!H$42,1000000))</f>
        <v/>
      </c>
      <c r="N9" s="7">
        <f>B9*'Данные'!$B$12+C9*'Данные'!$B$13+D9*'Данные'!$B$14+E9*'Данные'!$B$15+F9*'Данные'!$B$16</f>
        <v/>
      </c>
      <c r="O9" s="7">
        <f>G9*'Данные'!$B$20+H9*'Данные'!$B$21+I9*'Данные'!$B$22+J9*'Данные'!$B$23+K9*'Данные'!$B$24+L9*'Данные'!$B$25+M9*'Данные'!$B$26</f>
        <v/>
      </c>
      <c r="P9" s="8">
        <f>N9+O9</f>
        <v/>
      </c>
      <c r="Q9">
        <f>SUBSTITUTE(TRIM(IF(B9=1,"Владивосток ","")&amp;IF(C9=1,"Новосибирск ","")&amp;IF(D9=1,"Екатеринбург ","")&amp;IF(E9=1,"Москва ","")&amp;IF(F9=1,"Краснодар ",""))," ",", ")</f>
        <v/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s="6">
        <f>MIN(IF($B10=1,'Данные'!B$38,1000000),IF($C10=1,'Данные'!B$39,1000000),IF($D10=1,'Данные'!B$40,1000000),IF($E10=1,'Данные'!B$41,1000000),IF($F10=1,'Данные'!B$42,1000000))</f>
        <v/>
      </c>
      <c r="H10" s="6">
        <f>MIN(IF($B10=1,'Данные'!C$38,1000000),IF($C10=1,'Данные'!C$39,1000000),IF($D10=1,'Данные'!C$40,1000000),IF($E10=1,'Данные'!C$41,1000000),IF($F10=1,'Данные'!C$42,1000000))</f>
        <v/>
      </c>
      <c r="I10" s="6">
        <f>MIN(IF($B10=1,'Данные'!D$38,1000000),IF($C10=1,'Данные'!D$39,1000000),IF($D10=1,'Данные'!D$40,1000000),IF($E10=1,'Данные'!D$41,1000000),IF($F10=1,'Данные'!D$42,1000000))</f>
        <v/>
      </c>
      <c r="J10" s="6">
        <f>MIN(IF($B10=1,'Данные'!E$38,1000000),IF($C10=1,'Данные'!E$39,1000000),IF($D10=1,'Данные'!E$40,1000000),IF($E10=1,'Данные'!E$41,1000000),IF($F10=1,'Данные'!E$42,1000000))</f>
        <v/>
      </c>
      <c r="K10" s="6">
        <f>MIN(IF($B10=1,'Данные'!F$38,1000000),IF($C10=1,'Данные'!F$39,1000000),IF($D10=1,'Данные'!F$40,1000000),IF($E10=1,'Данные'!F$41,1000000),IF($F10=1,'Данные'!F$42,1000000))</f>
        <v/>
      </c>
      <c r="L10" s="6">
        <f>MIN(IF($B10=1,'Данные'!G$38,1000000),IF($C10=1,'Данные'!G$39,1000000),IF($D10=1,'Данные'!G$40,1000000),IF($E10=1,'Данные'!G$41,1000000),IF($F10=1,'Данные'!G$42,1000000))</f>
        <v/>
      </c>
      <c r="M10" s="6">
        <f>MIN(IF($B10=1,'Данные'!H$38,1000000),IF($C10=1,'Данные'!H$39,1000000),IF($D10=1,'Данные'!H$40,1000000),IF($E10=1,'Данные'!H$41,1000000),IF($F10=1,'Данные'!H$42,1000000))</f>
        <v/>
      </c>
      <c r="N10" s="7">
        <f>B10*'Данные'!$B$12+C10*'Данные'!$B$13+D10*'Данные'!$B$14+E10*'Данные'!$B$15+F10*'Данные'!$B$16</f>
        <v/>
      </c>
      <c r="O10" s="7">
        <f>G10*'Данные'!$B$20+H10*'Данные'!$B$21+I10*'Данные'!$B$22+J10*'Данные'!$B$23+K10*'Данные'!$B$24+L10*'Данные'!$B$25+M10*'Данные'!$B$26</f>
        <v/>
      </c>
      <c r="P10" s="8">
        <f>N10+O10</f>
        <v/>
      </c>
      <c r="Q10">
        <f>SUBSTITUTE(TRIM(IF(B10=1,"Владивосток ","")&amp;IF(C10=1,"Новосибирск ","")&amp;IF(D10=1,"Екатеринбург ","")&amp;IF(E10=1,"Москва ","")&amp;IF(F10=1,"Краснодар ",""))," ",", ")</f>
        <v/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s="6">
        <f>MIN(IF($B11=1,'Данные'!B$38,1000000),IF($C11=1,'Данные'!B$39,1000000),IF($D11=1,'Данные'!B$40,1000000),IF($E11=1,'Данные'!B$41,1000000),IF($F11=1,'Данные'!B$42,1000000))</f>
        <v/>
      </c>
      <c r="H11" s="6">
        <f>MIN(IF($B11=1,'Данные'!C$38,1000000),IF($C11=1,'Данные'!C$39,1000000),IF($D11=1,'Данные'!C$40,1000000),IF($E11=1,'Данные'!C$41,1000000),IF($F11=1,'Данные'!C$42,1000000))</f>
        <v/>
      </c>
      <c r="I11" s="6">
        <f>MIN(IF($B11=1,'Данные'!D$38,1000000),IF($C11=1,'Данные'!D$39,1000000),IF($D11=1,'Данные'!D$40,1000000),IF($E11=1,'Данные'!D$41,1000000),IF($F11=1,'Данные'!D$42,1000000))</f>
        <v/>
      </c>
      <c r="J11" s="6">
        <f>MIN(IF($B11=1,'Данные'!E$38,1000000),IF($C11=1,'Данные'!E$39,1000000),IF($D11=1,'Данные'!E$40,1000000),IF($E11=1,'Данные'!E$41,1000000),IF($F11=1,'Данные'!E$42,1000000))</f>
        <v/>
      </c>
      <c r="K11" s="6">
        <f>MIN(IF($B11=1,'Данные'!F$38,1000000),IF($C11=1,'Данные'!F$39,1000000),IF($D11=1,'Данные'!F$40,1000000),IF($E11=1,'Данные'!F$41,1000000),IF($F11=1,'Данные'!F$42,1000000))</f>
        <v/>
      </c>
      <c r="L11" s="6">
        <f>MIN(IF($B11=1,'Данные'!G$38,1000000),IF($C11=1,'Данные'!G$39,1000000),IF($D11=1,'Данные'!G$40,1000000),IF($E11=1,'Данные'!G$41,1000000),IF($F11=1,'Данные'!G$42,1000000))</f>
        <v/>
      </c>
      <c r="M11" s="6">
        <f>MIN(IF($B11=1,'Данные'!H$38,1000000),IF($C11=1,'Данные'!H$39,1000000),IF($D11=1,'Данные'!H$40,1000000),IF($E11=1,'Данные'!H$41,1000000),IF($F11=1,'Данные'!H$42,1000000))</f>
        <v/>
      </c>
      <c r="N11" s="7">
        <f>B11*'Данные'!$B$12+C11*'Данные'!$B$13+D11*'Данные'!$B$14+E11*'Данные'!$B$15+F11*'Данные'!$B$16</f>
        <v/>
      </c>
      <c r="O11" s="7">
        <f>G11*'Данные'!$B$20+H11*'Данные'!$B$21+I11*'Данные'!$B$22+J11*'Данные'!$B$23+K11*'Данные'!$B$24+L11*'Данные'!$B$25+M11*'Данные'!$B$26</f>
        <v/>
      </c>
      <c r="P11" s="8">
        <f>N11+O11</f>
        <v/>
      </c>
      <c r="Q11">
        <f>SUBSTITUTE(TRIM(IF(B11=1,"Владивосток ","")&amp;IF(C11=1,"Новосибирск ","")&amp;IF(D11=1,"Екатеринбург ","")&amp;IF(E11=1,"Москва ","")&amp;IF(F11=1,"Краснодар ",""))," ",", ")</f>
        <v/>
      </c>
    </row>
    <row r="12">
      <c r="A12" t="n">
        <v>11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s="6">
        <f>MIN(IF($B12=1,'Данные'!B$38,1000000),IF($C12=1,'Данные'!B$39,1000000),IF($D12=1,'Данные'!B$40,1000000),IF($E12=1,'Данные'!B$41,1000000),IF($F12=1,'Данные'!B$42,1000000))</f>
        <v/>
      </c>
      <c r="H12" s="6">
        <f>MIN(IF($B12=1,'Данные'!C$38,1000000),IF($C12=1,'Данные'!C$39,1000000),IF($D12=1,'Данные'!C$40,1000000),IF($E12=1,'Данные'!C$41,1000000),IF($F12=1,'Данные'!C$42,1000000))</f>
        <v/>
      </c>
      <c r="I12" s="6">
        <f>MIN(IF($B12=1,'Данные'!D$38,1000000),IF($C12=1,'Данные'!D$39,1000000),IF($D12=1,'Данные'!D$40,1000000),IF($E12=1,'Данные'!D$41,1000000),IF($F12=1,'Данные'!D$42,1000000))</f>
        <v/>
      </c>
      <c r="J12" s="6">
        <f>MIN(IF($B12=1,'Данные'!E$38,1000000),IF($C12=1,'Данные'!E$39,1000000),IF($D12=1,'Данные'!E$40,1000000),IF($E12=1,'Данные'!E$41,1000000),IF($F12=1,'Данные'!E$42,1000000))</f>
        <v/>
      </c>
      <c r="K12" s="6">
        <f>MIN(IF($B12=1,'Данные'!F$38,1000000),IF($C12=1,'Данные'!F$39,1000000),IF($D12=1,'Данные'!F$40,1000000),IF($E12=1,'Данные'!F$41,1000000),IF($F12=1,'Данные'!F$42,1000000))</f>
        <v/>
      </c>
      <c r="L12" s="6">
        <f>MIN(IF($B12=1,'Данные'!G$38,1000000),IF($C12=1,'Данные'!G$39,1000000),IF($D12=1,'Данные'!G$40,1000000),IF($E12=1,'Данные'!G$41,1000000),IF($F12=1,'Данные'!G$42,1000000))</f>
        <v/>
      </c>
      <c r="M12" s="6">
        <f>MIN(IF($B12=1,'Данные'!H$38,1000000),IF($C12=1,'Данные'!H$39,1000000),IF($D12=1,'Данные'!H$40,1000000),IF($E12=1,'Данные'!H$41,1000000),IF($F12=1,'Данные'!H$42,1000000))</f>
        <v/>
      </c>
      <c r="N12" s="7">
        <f>B12*'Данные'!$B$12+C12*'Данные'!$B$13+D12*'Данные'!$B$14+E12*'Данные'!$B$15+F12*'Данные'!$B$16</f>
        <v/>
      </c>
      <c r="O12" s="7">
        <f>G12*'Данные'!$B$20+H12*'Данные'!$B$21+I12*'Данные'!$B$22+J12*'Данные'!$B$23+K12*'Данные'!$B$24+L12*'Данные'!$B$25+M12*'Данные'!$B$26</f>
        <v/>
      </c>
      <c r="P12" s="8">
        <f>N12+O12</f>
        <v/>
      </c>
      <c r="Q12">
        <f>SUBSTITUTE(TRIM(IF(B12=1,"Владивосток ","")&amp;IF(C12=1,"Новосибирск ","")&amp;IF(D12=1,"Екатеринбург ","")&amp;IF(E12=1,"Москва ","")&amp;IF(F12=1,"Краснодар ",""))," ",", ")</f>
        <v/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s="6">
        <f>MIN(IF($B13=1,'Данные'!B$38,1000000),IF($C13=1,'Данные'!B$39,1000000),IF($D13=1,'Данные'!B$40,1000000),IF($E13=1,'Данные'!B$41,1000000),IF($F13=1,'Данные'!B$42,1000000))</f>
        <v/>
      </c>
      <c r="H13" s="6">
        <f>MIN(IF($B13=1,'Данные'!C$38,1000000),IF($C13=1,'Данные'!C$39,1000000),IF($D13=1,'Данные'!C$40,1000000),IF($E13=1,'Данные'!C$41,1000000),IF($F13=1,'Данные'!C$42,1000000))</f>
        <v/>
      </c>
      <c r="I13" s="6">
        <f>MIN(IF($B13=1,'Данные'!D$38,1000000),IF($C13=1,'Данные'!D$39,1000000),IF($D13=1,'Данные'!D$40,1000000),IF($E13=1,'Данные'!D$41,1000000),IF($F13=1,'Данные'!D$42,1000000))</f>
        <v/>
      </c>
      <c r="J13" s="6">
        <f>MIN(IF($B13=1,'Данные'!E$38,1000000),IF($C13=1,'Данные'!E$39,1000000),IF($D13=1,'Данные'!E$40,1000000),IF($E13=1,'Данные'!E$41,1000000),IF($F13=1,'Данные'!E$42,1000000))</f>
        <v/>
      </c>
      <c r="K13" s="6">
        <f>MIN(IF($B13=1,'Данные'!F$38,1000000),IF($C13=1,'Данные'!F$39,1000000),IF($D13=1,'Данные'!F$40,1000000),IF($E13=1,'Данные'!F$41,1000000),IF($F13=1,'Данные'!F$42,1000000))</f>
        <v/>
      </c>
      <c r="L13" s="6">
        <f>MIN(IF($B13=1,'Данные'!G$38,1000000),IF($C13=1,'Данные'!G$39,1000000),IF($D13=1,'Данные'!G$40,1000000),IF($E13=1,'Данные'!G$41,1000000),IF($F13=1,'Данные'!G$42,1000000))</f>
        <v/>
      </c>
      <c r="M13" s="6">
        <f>MIN(IF($B13=1,'Данные'!H$38,1000000),IF($C13=1,'Данные'!H$39,1000000),IF($D13=1,'Данные'!H$40,1000000),IF($E13=1,'Данные'!H$41,1000000),IF($F13=1,'Данные'!H$42,1000000))</f>
        <v/>
      </c>
      <c r="N13" s="7">
        <f>B13*'Данные'!$B$12+C13*'Данные'!$B$13+D13*'Данные'!$B$14+E13*'Данные'!$B$15+F13*'Данные'!$B$16</f>
        <v/>
      </c>
      <c r="O13" s="7">
        <f>G13*'Данные'!$B$20+H13*'Данные'!$B$21+I13*'Данные'!$B$22+J13*'Данные'!$B$23+K13*'Данные'!$B$24+L13*'Данные'!$B$25+M13*'Данные'!$B$26</f>
        <v/>
      </c>
      <c r="P13" s="8">
        <f>N13+O13</f>
        <v/>
      </c>
      <c r="Q13">
        <f>SUBSTITUTE(TRIM(IF(B13=1,"Владивосток ","")&amp;IF(C13=1,"Новосибирск ","")&amp;IF(D13=1,"Екатеринбург ","")&amp;IF(E13=1,"Москва ","")&amp;IF(F13=1,"Краснодар ",""))," ",", ")</f>
        <v/>
      </c>
    </row>
    <row r="14">
      <c r="A14" t="n">
        <v>13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s="6">
        <f>MIN(IF($B14=1,'Данные'!B$38,1000000),IF($C14=1,'Данные'!B$39,1000000),IF($D14=1,'Данные'!B$40,1000000),IF($E14=1,'Данные'!B$41,1000000),IF($F14=1,'Данные'!B$42,1000000))</f>
        <v/>
      </c>
      <c r="H14" s="6">
        <f>MIN(IF($B14=1,'Данные'!C$38,1000000),IF($C14=1,'Данные'!C$39,1000000),IF($D14=1,'Данные'!C$40,1000000),IF($E14=1,'Данные'!C$41,1000000),IF($F14=1,'Данные'!C$42,1000000))</f>
        <v/>
      </c>
      <c r="I14" s="6">
        <f>MIN(IF($B14=1,'Данные'!D$38,1000000),IF($C14=1,'Данные'!D$39,1000000),IF($D14=1,'Данные'!D$40,1000000),IF($E14=1,'Данные'!D$41,1000000),IF($F14=1,'Данные'!D$42,1000000))</f>
        <v/>
      </c>
      <c r="J14" s="6">
        <f>MIN(IF($B14=1,'Данные'!E$38,1000000),IF($C14=1,'Данные'!E$39,1000000),IF($D14=1,'Данные'!E$40,1000000),IF($E14=1,'Данные'!E$41,1000000),IF($F14=1,'Данные'!E$42,1000000))</f>
        <v/>
      </c>
      <c r="K14" s="6">
        <f>MIN(IF($B14=1,'Данные'!F$38,1000000),IF($C14=1,'Данные'!F$39,1000000),IF($D14=1,'Данные'!F$40,1000000),IF($E14=1,'Данные'!F$41,1000000),IF($F14=1,'Данные'!F$42,1000000))</f>
        <v/>
      </c>
      <c r="L14" s="6">
        <f>MIN(IF($B14=1,'Данные'!G$38,1000000),IF($C14=1,'Данные'!G$39,1000000),IF($D14=1,'Данные'!G$40,1000000),IF($E14=1,'Данные'!G$41,1000000),IF($F14=1,'Данные'!G$42,1000000))</f>
        <v/>
      </c>
      <c r="M14" s="6">
        <f>MIN(IF($B14=1,'Данные'!H$38,1000000),IF($C14=1,'Данные'!H$39,1000000),IF($D14=1,'Данные'!H$40,1000000),IF($E14=1,'Данные'!H$41,1000000),IF($F14=1,'Данные'!H$42,1000000))</f>
        <v/>
      </c>
      <c r="N14" s="7">
        <f>B14*'Данные'!$B$12+C14*'Данные'!$B$13+D14*'Данные'!$B$14+E14*'Данные'!$B$15+F14*'Данные'!$B$16</f>
        <v/>
      </c>
      <c r="O14" s="7">
        <f>G14*'Данные'!$B$20+H14*'Данные'!$B$21+I14*'Данные'!$B$22+J14*'Данные'!$B$23+K14*'Данные'!$B$24+L14*'Данные'!$B$25+M14*'Данные'!$B$26</f>
        <v/>
      </c>
      <c r="P14" s="8">
        <f>N14+O14</f>
        <v/>
      </c>
      <c r="Q14">
        <f>SUBSTITUTE(TRIM(IF(B14=1,"Владивосток ","")&amp;IF(C14=1,"Новосибирск ","")&amp;IF(D14=1,"Екатеринбург ","")&amp;IF(E14=1,"Москва ","")&amp;IF(F14=1,"Краснодар ",""))," ",", ")</f>
        <v/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s="6">
        <f>MIN(IF($B15=1,'Данные'!B$38,1000000),IF($C15=1,'Данные'!B$39,1000000),IF($D15=1,'Данные'!B$40,1000000),IF($E15=1,'Данные'!B$41,1000000),IF($F15=1,'Данные'!B$42,1000000))</f>
        <v/>
      </c>
      <c r="H15" s="6">
        <f>MIN(IF($B15=1,'Данные'!C$38,1000000),IF($C15=1,'Данные'!C$39,1000000),IF($D15=1,'Данные'!C$40,1000000),IF($E15=1,'Данные'!C$41,1000000),IF($F15=1,'Данные'!C$42,1000000))</f>
        <v/>
      </c>
      <c r="I15" s="6">
        <f>MIN(IF($B15=1,'Данные'!D$38,1000000),IF($C15=1,'Данные'!D$39,1000000),IF($D15=1,'Данные'!D$40,1000000),IF($E15=1,'Данные'!D$41,1000000),IF($F15=1,'Данные'!D$42,1000000))</f>
        <v/>
      </c>
      <c r="J15" s="6">
        <f>MIN(IF($B15=1,'Данные'!E$38,1000000),IF($C15=1,'Данные'!E$39,1000000),IF($D15=1,'Данные'!E$40,1000000),IF($E15=1,'Данные'!E$41,1000000),IF($F15=1,'Данные'!E$42,1000000))</f>
        <v/>
      </c>
      <c r="K15" s="6">
        <f>MIN(IF($B15=1,'Данные'!F$38,1000000),IF($C15=1,'Данные'!F$39,1000000),IF($D15=1,'Данные'!F$40,1000000),IF($E15=1,'Данные'!F$41,1000000),IF($F15=1,'Данные'!F$42,1000000))</f>
        <v/>
      </c>
      <c r="L15" s="6">
        <f>MIN(IF($B15=1,'Данные'!G$38,1000000),IF($C15=1,'Данные'!G$39,1000000),IF($D15=1,'Данные'!G$40,1000000),IF($E15=1,'Данные'!G$41,1000000),IF($F15=1,'Данные'!G$42,1000000))</f>
        <v/>
      </c>
      <c r="M15" s="6">
        <f>MIN(IF($B15=1,'Данные'!H$38,1000000),IF($C15=1,'Данные'!H$39,1000000),IF($D15=1,'Данные'!H$40,1000000),IF($E15=1,'Данные'!H$41,1000000),IF($F15=1,'Данные'!H$42,1000000))</f>
        <v/>
      </c>
      <c r="N15" s="7">
        <f>B15*'Данные'!$B$12+C15*'Данные'!$B$13+D15*'Данные'!$B$14+E15*'Данные'!$B$15+F15*'Данные'!$B$16</f>
        <v/>
      </c>
      <c r="O15" s="7">
        <f>G15*'Данные'!$B$20+H15*'Данные'!$B$21+I15*'Данные'!$B$22+J15*'Данные'!$B$23+K15*'Данные'!$B$24+L15*'Данные'!$B$25+M15*'Данные'!$B$26</f>
        <v/>
      </c>
      <c r="P15" s="8">
        <f>N15+O15</f>
        <v/>
      </c>
      <c r="Q15">
        <f>SUBSTITUTE(TRIM(IF(B15=1,"Владивосток ","")&amp;IF(C15=1,"Новосибирск ","")&amp;IF(D15=1,"Екатеринбург ","")&amp;IF(E15=1,"Москва ","")&amp;IF(F15=1,"Краснодар ",""))," ",", ")</f>
        <v/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s="6">
        <f>MIN(IF($B16=1,'Данные'!B$38,1000000),IF($C16=1,'Данные'!B$39,1000000),IF($D16=1,'Данные'!B$40,1000000),IF($E16=1,'Данные'!B$41,1000000),IF($F16=1,'Данные'!B$42,1000000))</f>
        <v/>
      </c>
      <c r="H16" s="6">
        <f>MIN(IF($B16=1,'Данные'!C$38,1000000),IF($C16=1,'Данные'!C$39,1000000),IF($D16=1,'Данные'!C$40,1000000),IF($E16=1,'Данные'!C$41,1000000),IF($F16=1,'Данные'!C$42,1000000))</f>
        <v/>
      </c>
      <c r="I16" s="6">
        <f>MIN(IF($B16=1,'Данные'!D$38,1000000),IF($C16=1,'Данные'!D$39,1000000),IF($D16=1,'Данные'!D$40,1000000),IF($E16=1,'Данные'!D$41,1000000),IF($F16=1,'Данные'!D$42,1000000))</f>
        <v/>
      </c>
      <c r="J16" s="6">
        <f>MIN(IF($B16=1,'Данные'!E$38,1000000),IF($C16=1,'Данные'!E$39,1000000),IF($D16=1,'Данные'!E$40,1000000),IF($E16=1,'Данные'!E$41,1000000),IF($F16=1,'Данные'!E$42,1000000))</f>
        <v/>
      </c>
      <c r="K16" s="6">
        <f>MIN(IF($B16=1,'Данные'!F$38,1000000),IF($C16=1,'Данные'!F$39,1000000),IF($D16=1,'Данные'!F$40,1000000),IF($E16=1,'Данные'!F$41,1000000),IF($F16=1,'Данные'!F$42,1000000))</f>
        <v/>
      </c>
      <c r="L16" s="6">
        <f>MIN(IF($B16=1,'Данные'!G$38,1000000),IF($C16=1,'Данные'!G$39,1000000),IF($D16=1,'Данные'!G$40,1000000),IF($E16=1,'Данные'!G$41,1000000),IF($F16=1,'Данные'!G$42,1000000))</f>
        <v/>
      </c>
      <c r="M16" s="6">
        <f>MIN(IF($B16=1,'Данные'!H$38,1000000),IF($C16=1,'Данные'!H$39,1000000),IF($D16=1,'Данные'!H$40,1000000),IF($E16=1,'Данные'!H$41,1000000),IF($F16=1,'Данные'!H$42,1000000))</f>
        <v/>
      </c>
      <c r="N16" s="7">
        <f>B16*'Данные'!$B$12+C16*'Данные'!$B$13+D16*'Данные'!$B$14+E16*'Данные'!$B$15+F16*'Данные'!$B$16</f>
        <v/>
      </c>
      <c r="O16" s="7">
        <f>G16*'Данные'!$B$20+H16*'Данные'!$B$21+I16*'Данные'!$B$22+J16*'Данные'!$B$23+K16*'Данные'!$B$24+L16*'Данные'!$B$25+M16*'Данные'!$B$26</f>
        <v/>
      </c>
      <c r="P16" s="8">
        <f>N16+O16</f>
        <v/>
      </c>
      <c r="Q16">
        <f>SUBSTITUTE(TRIM(IF(B16=1,"Владивосток ","")&amp;IF(C16=1,"Новосибирск ","")&amp;IF(D16=1,"Екатеринбург ","")&amp;IF(E16=1,"Москва ","")&amp;IF(F16=1,"Краснодар ",""))," ",", ")</f>
        <v/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s="6">
        <f>MIN(IF($B17=1,'Данные'!B$38,1000000),IF($C17=1,'Данные'!B$39,1000000),IF($D17=1,'Данные'!B$40,1000000),IF($E17=1,'Данные'!B$41,1000000),IF($F17=1,'Данные'!B$42,1000000))</f>
        <v/>
      </c>
      <c r="H17" s="6">
        <f>MIN(IF($B17=1,'Данные'!C$38,1000000),IF($C17=1,'Данные'!C$39,1000000),IF($D17=1,'Данные'!C$40,1000000),IF($E17=1,'Данные'!C$41,1000000),IF($F17=1,'Данные'!C$42,1000000))</f>
        <v/>
      </c>
      <c r="I17" s="6">
        <f>MIN(IF($B17=1,'Данные'!D$38,1000000),IF($C17=1,'Данные'!D$39,1000000),IF($D17=1,'Данные'!D$40,1000000),IF($E17=1,'Данные'!D$41,1000000),IF($F17=1,'Данные'!D$42,1000000))</f>
        <v/>
      </c>
      <c r="J17" s="6">
        <f>MIN(IF($B17=1,'Данные'!E$38,1000000),IF($C17=1,'Данные'!E$39,1000000),IF($D17=1,'Данные'!E$40,1000000),IF($E17=1,'Данные'!E$41,1000000),IF($F17=1,'Данные'!E$42,1000000))</f>
        <v/>
      </c>
      <c r="K17" s="6">
        <f>MIN(IF($B17=1,'Данные'!F$38,1000000),IF($C17=1,'Данные'!F$39,1000000),IF($D17=1,'Данные'!F$40,1000000),IF($E17=1,'Данные'!F$41,1000000),IF($F17=1,'Данные'!F$42,1000000))</f>
        <v/>
      </c>
      <c r="L17" s="6">
        <f>MIN(IF($B17=1,'Данные'!G$38,1000000),IF($C17=1,'Данные'!G$39,1000000),IF($D17=1,'Данные'!G$40,1000000),IF($E17=1,'Данные'!G$41,1000000),IF($F17=1,'Данные'!G$42,1000000))</f>
        <v/>
      </c>
      <c r="M17" s="6">
        <f>MIN(IF($B17=1,'Данные'!H$38,1000000),IF($C17=1,'Данные'!H$39,1000000),IF($D17=1,'Данные'!H$40,1000000),IF($E17=1,'Данные'!H$41,1000000),IF($F17=1,'Данные'!H$42,1000000))</f>
        <v/>
      </c>
      <c r="N17" s="7">
        <f>B17*'Данные'!$B$12+C17*'Данные'!$B$13+D17*'Данные'!$B$14+E17*'Данные'!$B$15+F17*'Данные'!$B$16</f>
        <v/>
      </c>
      <c r="O17" s="7">
        <f>G17*'Данные'!$B$20+H17*'Данные'!$B$21+I17*'Данные'!$B$22+J17*'Данные'!$B$23+K17*'Данные'!$B$24+L17*'Данные'!$B$25+M17*'Данные'!$B$26</f>
        <v/>
      </c>
      <c r="P17" s="8">
        <f>N17+O17</f>
        <v/>
      </c>
      <c r="Q17">
        <f>SUBSTITUTE(TRIM(IF(B17=1,"Владивосток ","")&amp;IF(C17=1,"Новосибирск ","")&amp;IF(D17=1,"Екатеринбург ","")&amp;IF(E17=1,"Москва ","")&amp;IF(F17=1,"Краснодар ",""))," ",", ")</f>
        <v/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s="6">
        <f>MIN(IF($B18=1,'Данные'!B$38,1000000),IF($C18=1,'Данные'!B$39,1000000),IF($D18=1,'Данные'!B$40,1000000),IF($E18=1,'Данные'!B$41,1000000),IF($F18=1,'Данные'!B$42,1000000))</f>
        <v/>
      </c>
      <c r="H18" s="6">
        <f>MIN(IF($B18=1,'Данные'!C$38,1000000),IF($C18=1,'Данные'!C$39,1000000),IF($D18=1,'Данные'!C$40,1000000),IF($E18=1,'Данные'!C$41,1000000),IF($F18=1,'Данные'!C$42,1000000))</f>
        <v/>
      </c>
      <c r="I18" s="6">
        <f>MIN(IF($B18=1,'Данные'!D$38,1000000),IF($C18=1,'Данные'!D$39,1000000),IF($D18=1,'Данные'!D$40,1000000),IF($E18=1,'Данные'!D$41,1000000),IF($F18=1,'Данные'!D$42,1000000))</f>
        <v/>
      </c>
      <c r="J18" s="6">
        <f>MIN(IF($B18=1,'Данные'!E$38,1000000),IF($C18=1,'Данные'!E$39,1000000),IF($D18=1,'Данные'!E$40,1000000),IF($E18=1,'Данные'!E$41,1000000),IF($F18=1,'Данные'!E$42,1000000))</f>
        <v/>
      </c>
      <c r="K18" s="6">
        <f>MIN(IF($B18=1,'Данные'!F$38,1000000),IF($C18=1,'Данные'!F$39,1000000),IF($D18=1,'Данные'!F$40,1000000),IF($E18=1,'Данные'!F$41,1000000),IF($F18=1,'Данные'!F$42,1000000))</f>
        <v/>
      </c>
      <c r="L18" s="6">
        <f>MIN(IF($B18=1,'Данные'!G$38,1000000),IF($C18=1,'Данные'!G$39,1000000),IF($D18=1,'Данные'!G$40,1000000),IF($E18=1,'Данные'!G$41,1000000),IF($F18=1,'Данные'!G$42,1000000))</f>
        <v/>
      </c>
      <c r="M18" s="6">
        <f>MIN(IF($B18=1,'Данные'!H$38,1000000),IF($C18=1,'Данные'!H$39,1000000),IF($D18=1,'Данные'!H$40,1000000),IF($E18=1,'Данные'!H$41,1000000),IF($F18=1,'Данные'!H$42,1000000))</f>
        <v/>
      </c>
      <c r="N18" s="7">
        <f>B18*'Данные'!$B$12+C18*'Данные'!$B$13+D18*'Данные'!$B$14+E18*'Данные'!$B$15+F18*'Данные'!$B$16</f>
        <v/>
      </c>
      <c r="O18" s="7">
        <f>G18*'Данные'!$B$20+H18*'Данные'!$B$21+I18*'Данные'!$B$22+J18*'Данные'!$B$23+K18*'Данные'!$B$24+L18*'Данные'!$B$25+M18*'Данные'!$B$26</f>
        <v/>
      </c>
      <c r="P18" s="8">
        <f>N18+O18</f>
        <v/>
      </c>
      <c r="Q18">
        <f>SUBSTITUTE(TRIM(IF(B18=1,"Владивосток ","")&amp;IF(C18=1,"Новосибирск ","")&amp;IF(D18=1,"Екатеринбург ","")&amp;IF(E18=1,"Москва ","")&amp;IF(F18=1,"Краснодар ",""))," ",", ")</f>
        <v/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s="6">
        <f>MIN(IF($B19=1,'Данные'!B$38,1000000),IF($C19=1,'Данные'!B$39,1000000),IF($D19=1,'Данные'!B$40,1000000),IF($E19=1,'Данные'!B$41,1000000),IF($F19=1,'Данные'!B$42,1000000))</f>
        <v/>
      </c>
      <c r="H19" s="6">
        <f>MIN(IF($B19=1,'Данные'!C$38,1000000),IF($C19=1,'Данные'!C$39,1000000),IF($D19=1,'Данные'!C$40,1000000),IF($E19=1,'Данные'!C$41,1000000),IF($F19=1,'Данные'!C$42,1000000))</f>
        <v/>
      </c>
      <c r="I19" s="6">
        <f>MIN(IF($B19=1,'Данные'!D$38,1000000),IF($C19=1,'Данные'!D$39,1000000),IF($D19=1,'Данные'!D$40,1000000),IF($E19=1,'Данные'!D$41,1000000),IF($F19=1,'Данные'!D$42,1000000))</f>
        <v/>
      </c>
      <c r="J19" s="6">
        <f>MIN(IF($B19=1,'Данные'!E$38,1000000),IF($C19=1,'Данные'!E$39,1000000),IF($D19=1,'Данные'!E$40,1000000),IF($E19=1,'Данные'!E$41,1000000),IF($F19=1,'Данные'!E$42,1000000))</f>
        <v/>
      </c>
      <c r="K19" s="6">
        <f>MIN(IF($B19=1,'Данные'!F$38,1000000),IF($C19=1,'Данные'!F$39,1000000),IF($D19=1,'Данные'!F$40,1000000),IF($E19=1,'Данные'!F$41,1000000),IF($F19=1,'Данные'!F$42,1000000))</f>
        <v/>
      </c>
      <c r="L19" s="6">
        <f>MIN(IF($B19=1,'Данные'!G$38,1000000),IF($C19=1,'Данные'!G$39,1000000),IF($D19=1,'Данные'!G$40,1000000),IF($E19=1,'Данные'!G$41,1000000),IF($F19=1,'Данные'!G$42,1000000))</f>
        <v/>
      </c>
      <c r="M19" s="6">
        <f>MIN(IF($B19=1,'Данные'!H$38,1000000),IF($C19=1,'Данные'!H$39,1000000),IF($D19=1,'Данные'!H$40,1000000),IF($E19=1,'Данные'!H$41,1000000),IF($F19=1,'Данные'!H$42,1000000))</f>
        <v/>
      </c>
      <c r="N19" s="7">
        <f>B19*'Данные'!$B$12+C19*'Данные'!$B$13+D19*'Данные'!$B$14+E19*'Данные'!$B$15+F19*'Данные'!$B$16</f>
        <v/>
      </c>
      <c r="O19" s="7">
        <f>G19*'Данные'!$B$20+H19*'Данные'!$B$21+I19*'Данные'!$B$22+J19*'Данные'!$B$23+K19*'Данные'!$B$24+L19*'Данные'!$B$25+M19*'Данные'!$B$26</f>
        <v/>
      </c>
      <c r="P19" s="8">
        <f>N19+O19</f>
        <v/>
      </c>
      <c r="Q19">
        <f>SUBSTITUTE(TRIM(IF(B19=1,"Владивосток ","")&amp;IF(C19=1,"Новосибирск ","")&amp;IF(D19=1,"Екатеринбург ","")&amp;IF(E19=1,"Москва ","")&amp;IF(F19=1,"Краснодар ",""))," ",", ")</f>
        <v/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s="6">
        <f>MIN(IF($B20=1,'Данные'!B$38,1000000),IF($C20=1,'Данные'!B$39,1000000),IF($D20=1,'Данные'!B$40,1000000),IF($E20=1,'Данные'!B$41,1000000),IF($F20=1,'Данные'!B$42,1000000))</f>
        <v/>
      </c>
      <c r="H20" s="6">
        <f>MIN(IF($B20=1,'Данные'!C$38,1000000),IF($C20=1,'Данные'!C$39,1000000),IF($D20=1,'Данные'!C$40,1000000),IF($E20=1,'Данные'!C$41,1000000),IF($F20=1,'Данные'!C$42,1000000))</f>
        <v/>
      </c>
      <c r="I20" s="6">
        <f>MIN(IF($B20=1,'Данные'!D$38,1000000),IF($C20=1,'Данные'!D$39,1000000),IF($D20=1,'Данные'!D$40,1000000),IF($E20=1,'Данные'!D$41,1000000),IF($F20=1,'Данные'!D$42,1000000))</f>
        <v/>
      </c>
      <c r="J20" s="6">
        <f>MIN(IF($B20=1,'Данные'!E$38,1000000),IF($C20=1,'Данные'!E$39,1000000),IF($D20=1,'Данные'!E$40,1000000),IF($E20=1,'Данные'!E$41,1000000),IF($F20=1,'Данные'!E$42,1000000))</f>
        <v/>
      </c>
      <c r="K20" s="6">
        <f>MIN(IF($B20=1,'Данные'!F$38,1000000),IF($C20=1,'Данные'!F$39,1000000),IF($D20=1,'Данные'!F$40,1000000),IF($E20=1,'Данные'!F$41,1000000),IF($F20=1,'Данные'!F$42,1000000))</f>
        <v/>
      </c>
      <c r="L20" s="6">
        <f>MIN(IF($B20=1,'Данные'!G$38,1000000),IF($C20=1,'Данные'!G$39,1000000),IF($D20=1,'Данные'!G$40,1000000),IF($E20=1,'Данные'!G$41,1000000),IF($F20=1,'Данные'!G$42,1000000))</f>
        <v/>
      </c>
      <c r="M20" s="6">
        <f>MIN(IF($B20=1,'Данные'!H$38,1000000),IF($C20=1,'Данные'!H$39,1000000),IF($D20=1,'Данные'!H$40,1000000),IF($E20=1,'Данные'!H$41,1000000),IF($F20=1,'Данные'!H$42,1000000))</f>
        <v/>
      </c>
      <c r="N20" s="7">
        <f>B20*'Данные'!$B$12+C20*'Данные'!$B$13+D20*'Данные'!$B$14+E20*'Данные'!$B$15+F20*'Данные'!$B$16</f>
        <v/>
      </c>
      <c r="O20" s="7">
        <f>G20*'Данные'!$B$20+H20*'Данные'!$B$21+I20*'Данные'!$B$22+J20*'Данные'!$B$23+K20*'Данные'!$B$24+L20*'Данные'!$B$25+M20*'Данные'!$B$26</f>
        <v/>
      </c>
      <c r="P20" s="8">
        <f>N20+O20</f>
        <v/>
      </c>
      <c r="Q20">
        <f>SUBSTITUTE(TRIM(IF(B20=1,"Владивосток ","")&amp;IF(C20=1,"Новосибирск ","")&amp;IF(D20=1,"Екатеринбург ","")&amp;IF(E20=1,"Москва ","")&amp;IF(F20=1,"Краснодар ",""))," ",", ")</f>
        <v/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s="6">
        <f>MIN(IF($B21=1,'Данные'!B$38,1000000),IF($C21=1,'Данные'!B$39,1000000),IF($D21=1,'Данные'!B$40,1000000),IF($E21=1,'Данные'!B$41,1000000),IF($F21=1,'Данные'!B$42,1000000))</f>
        <v/>
      </c>
      <c r="H21" s="6">
        <f>MIN(IF($B21=1,'Данные'!C$38,1000000),IF($C21=1,'Данные'!C$39,1000000),IF($D21=1,'Данные'!C$40,1000000),IF($E21=1,'Данные'!C$41,1000000),IF($F21=1,'Данные'!C$42,1000000))</f>
        <v/>
      </c>
      <c r="I21" s="6">
        <f>MIN(IF($B21=1,'Данные'!D$38,1000000),IF($C21=1,'Данные'!D$39,1000000),IF($D21=1,'Данные'!D$40,1000000),IF($E21=1,'Данные'!D$41,1000000),IF($F21=1,'Данные'!D$42,1000000))</f>
        <v/>
      </c>
      <c r="J21" s="6">
        <f>MIN(IF($B21=1,'Данные'!E$38,1000000),IF($C21=1,'Данные'!E$39,1000000),IF($D21=1,'Данные'!E$40,1000000),IF($E21=1,'Данные'!E$41,1000000),IF($F21=1,'Данные'!E$42,1000000))</f>
        <v/>
      </c>
      <c r="K21" s="6">
        <f>MIN(IF($B21=1,'Данные'!F$38,1000000),IF($C21=1,'Данные'!F$39,1000000),IF($D21=1,'Данные'!F$40,1000000),IF($E21=1,'Данные'!F$41,1000000),IF($F21=1,'Данные'!F$42,1000000))</f>
        <v/>
      </c>
      <c r="L21" s="6">
        <f>MIN(IF($B21=1,'Данные'!G$38,1000000),IF($C21=1,'Данные'!G$39,1000000),IF($D21=1,'Данные'!G$40,1000000),IF($E21=1,'Данные'!G$41,1000000),IF($F21=1,'Данные'!G$42,1000000))</f>
        <v/>
      </c>
      <c r="M21" s="6">
        <f>MIN(IF($B21=1,'Данные'!H$38,1000000),IF($C21=1,'Данные'!H$39,1000000),IF($D21=1,'Данные'!H$40,1000000),IF($E21=1,'Данные'!H$41,1000000),IF($F21=1,'Данные'!H$42,1000000))</f>
        <v/>
      </c>
      <c r="N21" s="7">
        <f>B21*'Данные'!$B$12+C21*'Данные'!$B$13+D21*'Данные'!$B$14+E21*'Данные'!$B$15+F21*'Данные'!$B$16</f>
        <v/>
      </c>
      <c r="O21" s="7">
        <f>G21*'Данные'!$B$20+H21*'Данные'!$B$21+I21*'Данные'!$B$22+J21*'Данные'!$B$23+K21*'Данные'!$B$24+L21*'Данные'!$B$25+M21*'Данные'!$B$26</f>
        <v/>
      </c>
      <c r="P21" s="8">
        <f>N21+O21</f>
        <v/>
      </c>
      <c r="Q21">
        <f>SUBSTITUTE(TRIM(IF(B21=1,"Владивосток ","")&amp;IF(C21=1,"Новосибирск ","")&amp;IF(D21=1,"Екатеринбург ","")&amp;IF(E21=1,"Москва ","")&amp;IF(F21=1,"Краснодар ",""))," ",", ")</f>
        <v/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s="6">
        <f>MIN(IF($B22=1,'Данные'!B$38,1000000),IF($C22=1,'Данные'!B$39,1000000),IF($D22=1,'Данные'!B$40,1000000),IF($E22=1,'Данные'!B$41,1000000),IF($F22=1,'Данные'!B$42,1000000))</f>
        <v/>
      </c>
      <c r="H22" s="6">
        <f>MIN(IF($B22=1,'Данные'!C$38,1000000),IF($C22=1,'Данные'!C$39,1000000),IF($D22=1,'Данные'!C$40,1000000),IF($E22=1,'Данные'!C$41,1000000),IF($F22=1,'Данные'!C$42,1000000))</f>
        <v/>
      </c>
      <c r="I22" s="6">
        <f>MIN(IF($B22=1,'Данные'!D$38,1000000),IF($C22=1,'Данные'!D$39,1000000),IF($D22=1,'Данные'!D$40,1000000),IF($E22=1,'Данные'!D$41,1000000),IF($F22=1,'Данные'!D$42,1000000))</f>
        <v/>
      </c>
      <c r="J22" s="6">
        <f>MIN(IF($B22=1,'Данные'!E$38,1000000),IF($C22=1,'Данные'!E$39,1000000),IF($D22=1,'Данные'!E$40,1000000),IF($E22=1,'Данные'!E$41,1000000),IF($F22=1,'Данные'!E$42,1000000))</f>
        <v/>
      </c>
      <c r="K22" s="6">
        <f>MIN(IF($B22=1,'Данные'!F$38,1000000),IF($C22=1,'Данные'!F$39,1000000),IF($D22=1,'Данные'!F$40,1000000),IF($E22=1,'Данные'!F$41,1000000),IF($F22=1,'Данные'!F$42,1000000))</f>
        <v/>
      </c>
      <c r="L22" s="6">
        <f>MIN(IF($B22=1,'Данные'!G$38,1000000),IF($C22=1,'Данные'!G$39,1000000),IF($D22=1,'Данные'!G$40,1000000),IF($E22=1,'Данные'!G$41,1000000),IF($F22=1,'Данные'!G$42,1000000))</f>
        <v/>
      </c>
      <c r="M22" s="6">
        <f>MIN(IF($B22=1,'Данные'!H$38,1000000),IF($C22=1,'Данные'!H$39,1000000),IF($D22=1,'Данные'!H$40,1000000),IF($E22=1,'Данные'!H$41,1000000),IF($F22=1,'Данные'!H$42,1000000))</f>
        <v/>
      </c>
      <c r="N22" s="7">
        <f>B22*'Данные'!$B$12+C22*'Данные'!$B$13+D22*'Данные'!$B$14+E22*'Данные'!$B$15+F22*'Данные'!$B$16</f>
        <v/>
      </c>
      <c r="O22" s="7">
        <f>G22*'Данные'!$B$20+H22*'Данные'!$B$21+I22*'Данные'!$B$22+J22*'Данные'!$B$23+K22*'Данные'!$B$24+L22*'Данные'!$B$25+M22*'Данные'!$B$26</f>
        <v/>
      </c>
      <c r="P22" s="8">
        <f>N22+O22</f>
        <v/>
      </c>
      <c r="Q22">
        <f>SUBSTITUTE(TRIM(IF(B22=1,"Владивосток ","")&amp;IF(C22=1,"Новосибирск ","")&amp;IF(D22=1,"Екатеринбург ","")&amp;IF(E22=1,"Москва ","")&amp;IF(F22=1,"Краснодар ",""))," ",", ")</f>
        <v/>
      </c>
    </row>
    <row r="23">
      <c r="A23" t="n">
        <v>22</v>
      </c>
      <c r="B23" t="n">
        <v>0</v>
      </c>
      <c r="C23" t="n">
        <v>1</v>
      </c>
      <c r="D23" t="n">
        <v>1</v>
      </c>
      <c r="E23" t="n">
        <v>0</v>
      </c>
      <c r="F23" t="n">
        <v>1</v>
      </c>
      <c r="G23" s="6">
        <f>MIN(IF($B23=1,'Данные'!B$38,1000000),IF($C23=1,'Данные'!B$39,1000000),IF($D23=1,'Данные'!B$40,1000000),IF($E23=1,'Данные'!B$41,1000000),IF($F23=1,'Данные'!B$42,1000000))</f>
        <v/>
      </c>
      <c r="H23" s="6">
        <f>MIN(IF($B23=1,'Данные'!C$38,1000000),IF($C23=1,'Данные'!C$39,1000000),IF($D23=1,'Данные'!C$40,1000000),IF($E23=1,'Данные'!C$41,1000000),IF($F23=1,'Данные'!C$42,1000000))</f>
        <v/>
      </c>
      <c r="I23" s="6">
        <f>MIN(IF($B23=1,'Данные'!D$38,1000000),IF($C23=1,'Данные'!D$39,1000000),IF($D23=1,'Данные'!D$40,1000000),IF($E23=1,'Данные'!D$41,1000000),IF($F23=1,'Данные'!D$42,1000000))</f>
        <v/>
      </c>
      <c r="J23" s="6">
        <f>MIN(IF($B23=1,'Данные'!E$38,1000000),IF($C23=1,'Данные'!E$39,1000000),IF($D23=1,'Данные'!E$40,1000000),IF($E23=1,'Данные'!E$41,1000000),IF($F23=1,'Данные'!E$42,1000000))</f>
        <v/>
      </c>
      <c r="K23" s="6">
        <f>MIN(IF($B23=1,'Данные'!F$38,1000000),IF($C23=1,'Данные'!F$39,1000000),IF($D23=1,'Данные'!F$40,1000000),IF($E23=1,'Данные'!F$41,1000000),IF($F23=1,'Данные'!F$42,1000000))</f>
        <v/>
      </c>
      <c r="L23" s="6">
        <f>MIN(IF($B23=1,'Данные'!G$38,1000000),IF($C23=1,'Данные'!G$39,1000000),IF($D23=1,'Данные'!G$40,1000000),IF($E23=1,'Данные'!G$41,1000000),IF($F23=1,'Данные'!G$42,1000000))</f>
        <v/>
      </c>
      <c r="M23" s="6">
        <f>MIN(IF($B23=1,'Данные'!H$38,1000000),IF($C23=1,'Данные'!H$39,1000000),IF($D23=1,'Данные'!H$40,1000000),IF($E23=1,'Данные'!H$41,1000000),IF($F23=1,'Данные'!H$42,1000000))</f>
        <v/>
      </c>
      <c r="N23" s="7">
        <f>B23*'Данные'!$B$12+C23*'Данные'!$B$13+D23*'Данные'!$B$14+E23*'Данные'!$B$15+F23*'Данные'!$B$16</f>
        <v/>
      </c>
      <c r="O23" s="7">
        <f>G23*'Данные'!$B$20+H23*'Данные'!$B$21+I23*'Данные'!$B$22+J23*'Данные'!$B$23+K23*'Данные'!$B$24+L23*'Данные'!$B$25+M23*'Данные'!$B$26</f>
        <v/>
      </c>
      <c r="P23" s="8">
        <f>N23+O23</f>
        <v/>
      </c>
      <c r="Q23">
        <f>SUBSTITUTE(TRIM(IF(B23=1,"Владивосток ","")&amp;IF(C23=1,"Новосибирск ","")&amp;IF(D23=1,"Екатеринбург ","")&amp;IF(E23=1,"Москва ","")&amp;IF(F23=1,"Краснодар ",""))," ",", ")</f>
        <v/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s="6">
        <f>MIN(IF($B24=1,'Данные'!B$38,1000000),IF($C24=1,'Данные'!B$39,1000000),IF($D24=1,'Данные'!B$40,1000000),IF($E24=1,'Данные'!B$41,1000000),IF($F24=1,'Данные'!B$42,1000000))</f>
        <v/>
      </c>
      <c r="H24" s="6">
        <f>MIN(IF($B24=1,'Данные'!C$38,1000000),IF($C24=1,'Данные'!C$39,1000000),IF($D24=1,'Данные'!C$40,1000000),IF($E24=1,'Данные'!C$41,1000000),IF($F24=1,'Данные'!C$42,1000000))</f>
        <v/>
      </c>
      <c r="I24" s="6">
        <f>MIN(IF($B24=1,'Данные'!D$38,1000000),IF($C24=1,'Данные'!D$39,1000000),IF($D24=1,'Данные'!D$40,1000000),IF($E24=1,'Данные'!D$41,1000000),IF($F24=1,'Данные'!D$42,1000000))</f>
        <v/>
      </c>
      <c r="J24" s="6">
        <f>MIN(IF($B24=1,'Данные'!E$38,1000000),IF($C24=1,'Данные'!E$39,1000000),IF($D24=1,'Данные'!E$40,1000000),IF($E24=1,'Данные'!E$41,1000000),IF($F24=1,'Данные'!E$42,1000000))</f>
        <v/>
      </c>
      <c r="K24" s="6">
        <f>MIN(IF($B24=1,'Данные'!F$38,1000000),IF($C24=1,'Данные'!F$39,1000000),IF($D24=1,'Данные'!F$40,1000000),IF($E24=1,'Данные'!F$41,1000000),IF($F24=1,'Данные'!F$42,1000000))</f>
        <v/>
      </c>
      <c r="L24" s="6">
        <f>MIN(IF($B24=1,'Данные'!G$38,1000000),IF($C24=1,'Данные'!G$39,1000000),IF($D24=1,'Данные'!G$40,1000000),IF($E24=1,'Данные'!G$41,1000000),IF($F24=1,'Данные'!G$42,1000000))</f>
        <v/>
      </c>
      <c r="M24" s="6">
        <f>MIN(IF($B24=1,'Данные'!H$38,1000000),IF($C24=1,'Данные'!H$39,1000000),IF($D24=1,'Данные'!H$40,1000000),IF($E24=1,'Данные'!H$41,1000000),IF($F24=1,'Данные'!H$42,1000000))</f>
        <v/>
      </c>
      <c r="N24" s="7">
        <f>B24*'Данные'!$B$12+C24*'Данные'!$B$13+D24*'Данные'!$B$14+E24*'Данные'!$B$15+F24*'Данные'!$B$16</f>
        <v/>
      </c>
      <c r="O24" s="7">
        <f>G24*'Данные'!$B$20+H24*'Данные'!$B$21+I24*'Данные'!$B$22+J24*'Данные'!$B$23+K24*'Данные'!$B$24+L24*'Данные'!$B$25+M24*'Данные'!$B$26</f>
        <v/>
      </c>
      <c r="P24" s="8">
        <f>N24+O24</f>
        <v/>
      </c>
      <c r="Q24">
        <f>SUBSTITUTE(TRIM(IF(B24=1,"Владивосток ","")&amp;IF(C24=1,"Новосибирск ","")&amp;IF(D24=1,"Екатеринбург ","")&amp;IF(E24=1,"Москва ","")&amp;IF(F24=1,"Краснодар ",""))," ",", ")</f>
        <v/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s="6">
        <f>MIN(IF($B25=1,'Данные'!B$38,1000000),IF($C25=1,'Данные'!B$39,1000000),IF($D25=1,'Данные'!B$40,1000000),IF($E25=1,'Данные'!B$41,1000000),IF($F25=1,'Данные'!B$42,1000000))</f>
        <v/>
      </c>
      <c r="H25" s="6">
        <f>MIN(IF($B25=1,'Данные'!C$38,1000000),IF($C25=1,'Данные'!C$39,1000000),IF($D25=1,'Данные'!C$40,1000000),IF($E25=1,'Данные'!C$41,1000000),IF($F25=1,'Данные'!C$42,1000000))</f>
        <v/>
      </c>
      <c r="I25" s="6">
        <f>MIN(IF($B25=1,'Данные'!D$38,1000000),IF($C25=1,'Данные'!D$39,1000000),IF($D25=1,'Данные'!D$40,1000000),IF($E25=1,'Данные'!D$41,1000000),IF($F25=1,'Данные'!D$42,1000000))</f>
        <v/>
      </c>
      <c r="J25" s="6">
        <f>MIN(IF($B25=1,'Данные'!E$38,1000000),IF($C25=1,'Данные'!E$39,1000000),IF($D25=1,'Данные'!E$40,1000000),IF($E25=1,'Данные'!E$41,1000000),IF($F25=1,'Данные'!E$42,1000000))</f>
        <v/>
      </c>
      <c r="K25" s="6">
        <f>MIN(IF($B25=1,'Данные'!F$38,1000000),IF($C25=1,'Данные'!F$39,1000000),IF($D25=1,'Данные'!F$40,1000000),IF($E25=1,'Данные'!F$41,1000000),IF($F25=1,'Данные'!F$42,1000000))</f>
        <v/>
      </c>
      <c r="L25" s="6">
        <f>MIN(IF($B25=1,'Данные'!G$38,1000000),IF($C25=1,'Данные'!G$39,1000000),IF($D25=1,'Данные'!G$40,1000000),IF($E25=1,'Данные'!G$41,1000000),IF($F25=1,'Данные'!G$42,1000000))</f>
        <v/>
      </c>
      <c r="M25" s="6">
        <f>MIN(IF($B25=1,'Данные'!H$38,1000000),IF($C25=1,'Данные'!H$39,1000000),IF($D25=1,'Данные'!H$40,1000000),IF($E25=1,'Данные'!H$41,1000000),IF($F25=1,'Данные'!H$42,1000000))</f>
        <v/>
      </c>
      <c r="N25" s="7">
        <f>B25*'Данные'!$B$12+C25*'Данные'!$B$13+D25*'Данные'!$B$14+E25*'Данные'!$B$15+F25*'Данные'!$B$16</f>
        <v/>
      </c>
      <c r="O25" s="7">
        <f>G25*'Данные'!$B$20+H25*'Данные'!$B$21+I25*'Данные'!$B$22+J25*'Данные'!$B$23+K25*'Данные'!$B$24+L25*'Данные'!$B$25+M25*'Данные'!$B$26</f>
        <v/>
      </c>
      <c r="P25" s="8">
        <f>N25+O25</f>
        <v/>
      </c>
      <c r="Q25">
        <f>SUBSTITUTE(TRIM(IF(B25=1,"Владивосток ","")&amp;IF(C25=1,"Новосибирск ","")&amp;IF(D25=1,"Екатеринбург ","")&amp;IF(E25=1,"Москва ","")&amp;IF(F25=1,"Краснодар ",""))," ",", ")</f>
        <v/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6">
        <f>MIN(IF($B26=1,'Данные'!B$38,1000000),IF($C26=1,'Данные'!B$39,1000000),IF($D26=1,'Данные'!B$40,1000000),IF($E26=1,'Данные'!B$41,1000000),IF($F26=1,'Данные'!B$42,1000000))</f>
        <v/>
      </c>
      <c r="H26" s="6">
        <f>MIN(IF($B26=1,'Данные'!C$38,1000000),IF($C26=1,'Данные'!C$39,1000000),IF($D26=1,'Данные'!C$40,1000000),IF($E26=1,'Данные'!C$41,1000000),IF($F26=1,'Данные'!C$42,1000000))</f>
        <v/>
      </c>
      <c r="I26" s="6">
        <f>MIN(IF($B26=1,'Данные'!D$38,1000000),IF($C26=1,'Данные'!D$39,1000000),IF($D26=1,'Данные'!D$40,1000000),IF($E26=1,'Данные'!D$41,1000000),IF($F26=1,'Данные'!D$42,1000000))</f>
        <v/>
      </c>
      <c r="J26" s="6">
        <f>MIN(IF($B26=1,'Данные'!E$38,1000000),IF($C26=1,'Данные'!E$39,1000000),IF($D26=1,'Данные'!E$40,1000000),IF($E26=1,'Данные'!E$41,1000000),IF($F26=1,'Данные'!E$42,1000000))</f>
        <v/>
      </c>
      <c r="K26" s="6">
        <f>MIN(IF($B26=1,'Данные'!F$38,1000000),IF($C26=1,'Данные'!F$39,1000000),IF($D26=1,'Данные'!F$40,1000000),IF($E26=1,'Данные'!F$41,1000000),IF($F26=1,'Данные'!F$42,1000000))</f>
        <v/>
      </c>
      <c r="L26" s="6">
        <f>MIN(IF($B26=1,'Данные'!G$38,1000000),IF($C26=1,'Данные'!G$39,1000000),IF($D26=1,'Данные'!G$40,1000000),IF($E26=1,'Данные'!G$41,1000000),IF($F26=1,'Данные'!G$42,1000000))</f>
        <v/>
      </c>
      <c r="M26" s="6">
        <f>MIN(IF($B26=1,'Данные'!H$38,1000000),IF($C26=1,'Данные'!H$39,1000000),IF($D26=1,'Данные'!H$40,1000000),IF($E26=1,'Данные'!H$41,1000000),IF($F26=1,'Данные'!H$42,1000000))</f>
        <v/>
      </c>
      <c r="N26" s="7">
        <f>B26*'Данные'!$B$12+C26*'Данные'!$B$13+D26*'Данные'!$B$14+E26*'Данные'!$B$15+F26*'Данные'!$B$16</f>
        <v/>
      </c>
      <c r="O26" s="7">
        <f>G26*'Данные'!$B$20+H26*'Данные'!$B$21+I26*'Данные'!$B$22+J26*'Данные'!$B$23+K26*'Данные'!$B$24+L26*'Данные'!$B$25+M26*'Данные'!$B$26</f>
        <v/>
      </c>
      <c r="P26" s="8">
        <f>N26+O26</f>
        <v/>
      </c>
      <c r="Q26">
        <f>SUBSTITUTE(TRIM(IF(B26=1,"Владивосток ","")&amp;IF(C26=1,"Новосибирск ","")&amp;IF(D26=1,"Екатеринбург ","")&amp;IF(E26=1,"Москва ","")&amp;IF(F26=1,"Краснодар ",""))," ",", ")</f>
        <v/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s="6">
        <f>MIN(IF($B27=1,'Данные'!B$38,1000000),IF($C27=1,'Данные'!B$39,1000000),IF($D27=1,'Данные'!B$40,1000000),IF($E27=1,'Данные'!B$41,1000000),IF($F27=1,'Данные'!B$42,1000000))</f>
        <v/>
      </c>
      <c r="H27" s="6">
        <f>MIN(IF($B27=1,'Данные'!C$38,1000000),IF($C27=1,'Данные'!C$39,1000000),IF($D27=1,'Данные'!C$40,1000000),IF($E27=1,'Данные'!C$41,1000000),IF($F27=1,'Данные'!C$42,1000000))</f>
        <v/>
      </c>
      <c r="I27" s="6">
        <f>MIN(IF($B27=1,'Данные'!D$38,1000000),IF($C27=1,'Данные'!D$39,1000000),IF($D27=1,'Данные'!D$40,1000000),IF($E27=1,'Данные'!D$41,1000000),IF($F27=1,'Данные'!D$42,1000000))</f>
        <v/>
      </c>
      <c r="J27" s="6">
        <f>MIN(IF($B27=1,'Данные'!E$38,1000000),IF($C27=1,'Данные'!E$39,1000000),IF($D27=1,'Данные'!E$40,1000000),IF($E27=1,'Данные'!E$41,1000000),IF($F27=1,'Данные'!E$42,1000000))</f>
        <v/>
      </c>
      <c r="K27" s="6">
        <f>MIN(IF($B27=1,'Данные'!F$38,1000000),IF($C27=1,'Данные'!F$39,1000000),IF($D27=1,'Данные'!F$40,1000000),IF($E27=1,'Данные'!F$41,1000000),IF($F27=1,'Данные'!F$42,1000000))</f>
        <v/>
      </c>
      <c r="L27" s="6">
        <f>MIN(IF($B27=1,'Данные'!G$38,1000000),IF($C27=1,'Данные'!G$39,1000000),IF($D27=1,'Данные'!G$40,1000000),IF($E27=1,'Данные'!G$41,1000000),IF($F27=1,'Данные'!G$42,1000000))</f>
        <v/>
      </c>
      <c r="M27" s="6">
        <f>MIN(IF($B27=1,'Данные'!H$38,1000000),IF($C27=1,'Данные'!H$39,1000000),IF($D27=1,'Данные'!H$40,1000000),IF($E27=1,'Данные'!H$41,1000000),IF($F27=1,'Данные'!H$42,1000000))</f>
        <v/>
      </c>
      <c r="N27" s="7">
        <f>B27*'Данные'!$B$12+C27*'Данные'!$B$13+D27*'Данные'!$B$14+E27*'Данные'!$B$15+F27*'Данные'!$B$16</f>
        <v/>
      </c>
      <c r="O27" s="7">
        <f>G27*'Данные'!$B$20+H27*'Данные'!$B$21+I27*'Данные'!$B$22+J27*'Данные'!$B$23+K27*'Данные'!$B$24+L27*'Данные'!$B$25+M27*'Данные'!$B$26</f>
        <v/>
      </c>
      <c r="P27" s="8">
        <f>N27+O27</f>
        <v/>
      </c>
      <c r="Q27">
        <f>SUBSTITUTE(TRIM(IF(B27=1,"Владивосток ","")&amp;IF(C27=1,"Новосибирск ","")&amp;IF(D27=1,"Екатеринбург ","")&amp;IF(E27=1,"Москва ","")&amp;IF(F27=1,"Краснодар ",""))," ",", ")</f>
        <v/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s="6">
        <f>MIN(IF($B28=1,'Данные'!B$38,1000000),IF($C28=1,'Данные'!B$39,1000000),IF($D28=1,'Данные'!B$40,1000000),IF($E28=1,'Данные'!B$41,1000000),IF($F28=1,'Данные'!B$42,1000000))</f>
        <v/>
      </c>
      <c r="H28" s="6">
        <f>MIN(IF($B28=1,'Данные'!C$38,1000000),IF($C28=1,'Данные'!C$39,1000000),IF($D28=1,'Данные'!C$40,1000000),IF($E28=1,'Данные'!C$41,1000000),IF($F28=1,'Данные'!C$42,1000000))</f>
        <v/>
      </c>
      <c r="I28" s="6">
        <f>MIN(IF($B28=1,'Данные'!D$38,1000000),IF($C28=1,'Данные'!D$39,1000000),IF($D28=1,'Данные'!D$40,1000000),IF($E28=1,'Данные'!D$41,1000000),IF($F28=1,'Данные'!D$42,1000000))</f>
        <v/>
      </c>
      <c r="J28" s="6">
        <f>MIN(IF($B28=1,'Данные'!E$38,1000000),IF($C28=1,'Данные'!E$39,1000000),IF($D28=1,'Данные'!E$40,1000000),IF($E28=1,'Данные'!E$41,1000000),IF($F28=1,'Данные'!E$42,1000000))</f>
        <v/>
      </c>
      <c r="K28" s="6">
        <f>MIN(IF($B28=1,'Данные'!F$38,1000000),IF($C28=1,'Данные'!F$39,1000000),IF($D28=1,'Данные'!F$40,1000000),IF($E28=1,'Данные'!F$41,1000000),IF($F28=1,'Данные'!F$42,1000000))</f>
        <v/>
      </c>
      <c r="L28" s="6">
        <f>MIN(IF($B28=1,'Данные'!G$38,1000000),IF($C28=1,'Данные'!G$39,1000000),IF($D28=1,'Данные'!G$40,1000000),IF($E28=1,'Данные'!G$41,1000000),IF($F28=1,'Данные'!G$42,1000000))</f>
        <v/>
      </c>
      <c r="M28" s="6">
        <f>MIN(IF($B28=1,'Данные'!H$38,1000000),IF($C28=1,'Данные'!H$39,1000000),IF($D28=1,'Данные'!H$40,1000000),IF($E28=1,'Данные'!H$41,1000000),IF($F28=1,'Данные'!H$42,1000000))</f>
        <v/>
      </c>
      <c r="N28" s="7">
        <f>B28*'Данные'!$B$12+C28*'Данные'!$B$13+D28*'Данные'!$B$14+E28*'Данные'!$B$15+F28*'Данные'!$B$16</f>
        <v/>
      </c>
      <c r="O28" s="7">
        <f>G28*'Данные'!$B$20+H28*'Данные'!$B$21+I28*'Данные'!$B$22+J28*'Данные'!$B$23+K28*'Данные'!$B$24+L28*'Данные'!$B$25+M28*'Данные'!$B$26</f>
        <v/>
      </c>
      <c r="P28" s="8">
        <f>N28+O28</f>
        <v/>
      </c>
      <c r="Q28">
        <f>SUBSTITUTE(TRIM(IF(B28=1,"Владивосток ","")&amp;IF(C28=1,"Новосибирск ","")&amp;IF(D28=1,"Екатеринбург ","")&amp;IF(E28=1,"Москва ","")&amp;IF(F28=1,"Краснодар ",""))," ",", ")</f>
        <v/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s="6">
        <f>MIN(IF($B29=1,'Данные'!B$38,1000000),IF($C29=1,'Данные'!B$39,1000000),IF($D29=1,'Данные'!B$40,1000000),IF($E29=1,'Данные'!B$41,1000000),IF($F29=1,'Данные'!B$42,1000000))</f>
        <v/>
      </c>
      <c r="H29" s="6">
        <f>MIN(IF($B29=1,'Данные'!C$38,1000000),IF($C29=1,'Данные'!C$39,1000000),IF($D29=1,'Данные'!C$40,1000000),IF($E29=1,'Данные'!C$41,1000000),IF($F29=1,'Данные'!C$42,1000000))</f>
        <v/>
      </c>
      <c r="I29" s="6">
        <f>MIN(IF($B29=1,'Данные'!D$38,1000000),IF($C29=1,'Данные'!D$39,1000000),IF($D29=1,'Данные'!D$40,1000000),IF($E29=1,'Данные'!D$41,1000000),IF($F29=1,'Данные'!D$42,1000000))</f>
        <v/>
      </c>
      <c r="J29" s="6">
        <f>MIN(IF($B29=1,'Данные'!E$38,1000000),IF($C29=1,'Данные'!E$39,1000000),IF($D29=1,'Данные'!E$40,1000000),IF($E29=1,'Данные'!E$41,1000000),IF($F29=1,'Данные'!E$42,1000000))</f>
        <v/>
      </c>
      <c r="K29" s="6">
        <f>MIN(IF($B29=1,'Данные'!F$38,1000000),IF($C29=1,'Данные'!F$39,1000000),IF($D29=1,'Данные'!F$40,1000000),IF($E29=1,'Данные'!F$41,1000000),IF($F29=1,'Данные'!F$42,1000000))</f>
        <v/>
      </c>
      <c r="L29" s="6">
        <f>MIN(IF($B29=1,'Данные'!G$38,1000000),IF($C29=1,'Данные'!G$39,1000000),IF($D29=1,'Данные'!G$40,1000000),IF($E29=1,'Данные'!G$41,1000000),IF($F29=1,'Данные'!G$42,1000000))</f>
        <v/>
      </c>
      <c r="M29" s="6">
        <f>MIN(IF($B29=1,'Данные'!H$38,1000000),IF($C29=1,'Данные'!H$39,1000000),IF($D29=1,'Данные'!H$40,1000000),IF($E29=1,'Данные'!H$41,1000000),IF($F29=1,'Данные'!H$42,1000000))</f>
        <v/>
      </c>
      <c r="N29" s="7">
        <f>B29*'Данные'!$B$12+C29*'Данные'!$B$13+D29*'Данные'!$B$14+E29*'Данные'!$B$15+F29*'Данные'!$B$16</f>
        <v/>
      </c>
      <c r="O29" s="7">
        <f>G29*'Данные'!$B$20+H29*'Данные'!$B$21+I29*'Данные'!$B$22+J29*'Данные'!$B$23+K29*'Данные'!$B$24+L29*'Данные'!$B$25+M29*'Данные'!$B$26</f>
        <v/>
      </c>
      <c r="P29" s="8">
        <f>N29+O29</f>
        <v/>
      </c>
      <c r="Q29">
        <f>SUBSTITUTE(TRIM(IF(B29=1,"Владивосток ","")&amp;IF(C29=1,"Новосибирск ","")&amp;IF(D29=1,"Екатеринбург ","")&amp;IF(E29=1,"Москва ","")&amp;IF(F29=1,"Краснодар ",""))," ",", ")</f>
        <v/>
      </c>
    </row>
    <row r="30">
      <c r="A30" t="n">
        <v>29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s="6">
        <f>MIN(IF($B30=1,'Данные'!B$38,1000000),IF($C30=1,'Данные'!B$39,1000000),IF($D30=1,'Данные'!B$40,1000000),IF($E30=1,'Данные'!B$41,1000000),IF($F30=1,'Данные'!B$42,1000000))</f>
        <v/>
      </c>
      <c r="H30" s="6">
        <f>MIN(IF($B30=1,'Данные'!C$38,1000000),IF($C30=1,'Данные'!C$39,1000000),IF($D30=1,'Данные'!C$40,1000000),IF($E30=1,'Данные'!C$41,1000000),IF($F30=1,'Данные'!C$42,1000000))</f>
        <v/>
      </c>
      <c r="I30" s="6">
        <f>MIN(IF($B30=1,'Данные'!D$38,1000000),IF($C30=1,'Данные'!D$39,1000000),IF($D30=1,'Данные'!D$40,1000000),IF($E30=1,'Данные'!D$41,1000000),IF($F30=1,'Данные'!D$42,1000000))</f>
        <v/>
      </c>
      <c r="J30" s="6">
        <f>MIN(IF($B30=1,'Данные'!E$38,1000000),IF($C30=1,'Данные'!E$39,1000000),IF($D30=1,'Данные'!E$40,1000000),IF($E30=1,'Данные'!E$41,1000000),IF($F30=1,'Данные'!E$42,1000000))</f>
        <v/>
      </c>
      <c r="K30" s="6">
        <f>MIN(IF($B30=1,'Данные'!F$38,1000000),IF($C30=1,'Данные'!F$39,1000000),IF($D30=1,'Данные'!F$40,1000000),IF($E30=1,'Данные'!F$41,1000000),IF($F30=1,'Данные'!F$42,1000000))</f>
        <v/>
      </c>
      <c r="L30" s="6">
        <f>MIN(IF($B30=1,'Данные'!G$38,1000000),IF($C30=1,'Данные'!G$39,1000000),IF($D30=1,'Данные'!G$40,1000000),IF($E30=1,'Данные'!G$41,1000000),IF($F30=1,'Данные'!G$42,1000000))</f>
        <v/>
      </c>
      <c r="M30" s="6">
        <f>MIN(IF($B30=1,'Данные'!H$38,1000000),IF($C30=1,'Данные'!H$39,1000000),IF($D30=1,'Данные'!H$40,1000000),IF($E30=1,'Данные'!H$41,1000000),IF($F30=1,'Данные'!H$42,1000000))</f>
        <v/>
      </c>
      <c r="N30" s="7">
        <f>B30*'Данные'!$B$12+C30*'Данные'!$B$13+D30*'Данные'!$B$14+E30*'Данные'!$B$15+F30*'Данные'!$B$16</f>
        <v/>
      </c>
      <c r="O30" s="7">
        <f>G30*'Данные'!$B$20+H30*'Данные'!$B$21+I30*'Данные'!$B$22+J30*'Данные'!$B$23+K30*'Данные'!$B$24+L30*'Данные'!$B$25+M30*'Данные'!$B$26</f>
        <v/>
      </c>
      <c r="P30" s="8">
        <f>N30+O30</f>
        <v/>
      </c>
      <c r="Q30">
        <f>SUBSTITUTE(TRIM(IF(B30=1,"Владивосток ","")&amp;IF(C30=1,"Новосибирск ","")&amp;IF(D30=1,"Екатеринбург ","")&amp;IF(E30=1,"Москва ","")&amp;IF(F30=1,"Краснодар ",""))," ",", ")</f>
        <v/>
      </c>
    </row>
    <row r="31">
      <c r="A3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s="6">
        <f>MIN(IF($B31=1,'Данные'!B$38,1000000),IF($C31=1,'Данные'!B$39,1000000),IF($D31=1,'Данные'!B$40,1000000),IF($E31=1,'Данные'!B$41,1000000),IF($F31=1,'Данные'!B$42,1000000))</f>
        <v/>
      </c>
      <c r="H31" s="6">
        <f>MIN(IF($B31=1,'Данные'!C$38,1000000),IF($C31=1,'Данные'!C$39,1000000),IF($D31=1,'Данные'!C$40,1000000),IF($E31=1,'Данные'!C$41,1000000),IF($F31=1,'Данные'!C$42,1000000))</f>
        <v/>
      </c>
      <c r="I31" s="6">
        <f>MIN(IF($B31=1,'Данные'!D$38,1000000),IF($C31=1,'Данные'!D$39,1000000),IF($D31=1,'Данные'!D$40,1000000),IF($E31=1,'Данные'!D$41,1000000),IF($F31=1,'Данные'!D$42,1000000))</f>
        <v/>
      </c>
      <c r="J31" s="6">
        <f>MIN(IF($B31=1,'Данные'!E$38,1000000),IF($C31=1,'Данные'!E$39,1000000),IF($D31=1,'Данные'!E$40,1000000),IF($E31=1,'Данные'!E$41,1000000),IF($F31=1,'Данные'!E$42,1000000))</f>
        <v/>
      </c>
      <c r="K31" s="6">
        <f>MIN(IF($B31=1,'Данные'!F$38,1000000),IF($C31=1,'Данные'!F$39,1000000),IF($D31=1,'Данные'!F$40,1000000),IF($E31=1,'Данные'!F$41,1000000),IF($F31=1,'Данные'!F$42,1000000))</f>
        <v/>
      </c>
      <c r="L31" s="6">
        <f>MIN(IF($B31=1,'Данные'!G$38,1000000),IF($C31=1,'Данные'!G$39,1000000),IF($D31=1,'Данные'!G$40,1000000),IF($E31=1,'Данные'!G$41,1000000),IF($F31=1,'Данные'!G$42,1000000))</f>
        <v/>
      </c>
      <c r="M31" s="6">
        <f>MIN(IF($B31=1,'Данные'!H$38,1000000),IF($C31=1,'Данные'!H$39,1000000),IF($D31=1,'Данные'!H$40,1000000),IF($E31=1,'Данные'!H$41,1000000),IF($F31=1,'Данные'!H$42,1000000))</f>
        <v/>
      </c>
      <c r="N31" s="7">
        <f>B31*'Данные'!$B$12+C31*'Данные'!$B$13+D31*'Данные'!$B$14+E31*'Данные'!$B$15+F31*'Данные'!$B$16</f>
        <v/>
      </c>
      <c r="O31" s="7">
        <f>G31*'Данные'!$B$20+H31*'Данные'!$B$21+I31*'Данные'!$B$22+J31*'Данные'!$B$23+K31*'Данные'!$B$24+L31*'Данные'!$B$25+M31*'Данные'!$B$26</f>
        <v/>
      </c>
      <c r="P31" s="8">
        <f>N31+O31</f>
        <v/>
      </c>
      <c r="Q31">
        <f>SUBSTITUTE(TRIM(IF(B31=1,"Владивосток ","")&amp;IF(C31=1,"Новосибирск ","")&amp;IF(D31=1,"Екатеринбург ","")&amp;IF(E31=1,"Москва ","")&amp;IF(F31=1,"Краснодар ",""))," ",", ")</f>
        <v/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s="6">
        <f>MIN(IF($B32=1,'Данные'!B$38,1000000),IF($C32=1,'Данные'!B$39,1000000),IF($D32=1,'Данные'!B$40,1000000),IF($E32=1,'Данные'!B$41,1000000),IF($F32=1,'Данные'!B$42,1000000))</f>
        <v/>
      </c>
      <c r="H32" s="6">
        <f>MIN(IF($B32=1,'Данные'!C$38,1000000),IF($C32=1,'Данные'!C$39,1000000),IF($D32=1,'Данные'!C$40,1000000),IF($E32=1,'Данные'!C$41,1000000),IF($F32=1,'Данные'!C$42,1000000))</f>
        <v/>
      </c>
      <c r="I32" s="6">
        <f>MIN(IF($B32=1,'Данные'!D$38,1000000),IF($C32=1,'Данные'!D$39,1000000),IF($D32=1,'Данные'!D$40,1000000),IF($E32=1,'Данные'!D$41,1000000),IF($F32=1,'Данные'!D$42,1000000))</f>
        <v/>
      </c>
      <c r="J32" s="6">
        <f>MIN(IF($B32=1,'Данные'!E$38,1000000),IF($C32=1,'Данные'!E$39,1000000),IF($D32=1,'Данные'!E$40,1000000),IF($E32=1,'Данные'!E$41,1000000),IF($F32=1,'Данные'!E$42,1000000))</f>
        <v/>
      </c>
      <c r="K32" s="6">
        <f>MIN(IF($B32=1,'Данные'!F$38,1000000),IF($C32=1,'Данные'!F$39,1000000),IF($D32=1,'Данные'!F$40,1000000),IF($E32=1,'Данные'!F$41,1000000),IF($F32=1,'Данные'!F$42,1000000))</f>
        <v/>
      </c>
      <c r="L32" s="6">
        <f>MIN(IF($B32=1,'Данные'!G$38,1000000),IF($C32=1,'Данные'!G$39,1000000),IF($D32=1,'Данные'!G$40,1000000),IF($E32=1,'Данные'!G$41,1000000),IF($F32=1,'Данные'!G$42,1000000))</f>
        <v/>
      </c>
      <c r="M32" s="6">
        <f>MIN(IF($B32=1,'Данные'!H$38,1000000),IF($C32=1,'Данные'!H$39,1000000),IF($D32=1,'Данные'!H$40,1000000),IF($E32=1,'Данные'!H$41,1000000),IF($F32=1,'Данные'!H$42,1000000))</f>
        <v/>
      </c>
      <c r="N32" s="7">
        <f>B32*'Данные'!$B$12+C32*'Данные'!$B$13+D32*'Данные'!$B$14+E32*'Данные'!$B$15+F32*'Данные'!$B$16</f>
        <v/>
      </c>
      <c r="O32" s="7">
        <f>G32*'Данные'!$B$20+H32*'Данные'!$B$21+I32*'Данные'!$B$22+J32*'Данные'!$B$23+K32*'Данные'!$B$24+L32*'Данные'!$B$25+M32*'Данные'!$B$26</f>
        <v/>
      </c>
      <c r="P32" s="8">
        <f>N32+O32</f>
        <v/>
      </c>
      <c r="Q32">
        <f>SUBSTITUTE(TRIM(IF(B32=1,"Владивосток ","")&amp;IF(C32=1,"Новосибирск ","")&amp;IF(D32=1,"Екатеринбург ","")&amp;IF(E32=1,"Москва ","")&amp;IF(F32=1,"Краснодар ",""))," ",", 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2" customWidth="1" min="1" max="1"/>
    <col width="42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Результат расчёта</t>
        </is>
      </c>
    </row>
    <row r="3">
      <c r="A3" t="inlineStr">
        <is>
          <t>Лучшая сеть</t>
        </is>
      </c>
      <c r="B3" s="9">
        <f>INDEX('Перебор'!Q2:Q32,MATCH(B4,'Перебор'!P2:P32,0))</f>
        <v/>
      </c>
    </row>
    <row r="4">
      <c r="A4" t="inlineStr">
        <is>
          <t>Затраты лучшей сети, млн ₽/год</t>
        </is>
      </c>
      <c r="B4" s="10">
        <f>MIN('Перебор'!P2:P32)</f>
        <v/>
      </c>
    </row>
    <row r="5">
      <c r="A5" t="inlineStr">
        <is>
          <t>Затраты схемы «всё через Москву», млн ₽/год</t>
        </is>
      </c>
      <c r="B5" s="10">
        <f>'Перебор'!P9</f>
        <v/>
      </c>
    </row>
    <row r="6">
      <c r="A6" t="inlineStr">
        <is>
          <t>Экономия, млн ₽/год</t>
        </is>
      </c>
      <c r="B6" s="10">
        <f>B5-B4</f>
        <v/>
      </c>
    </row>
    <row r="7">
      <c r="A7" t="inlineStr">
        <is>
          <t>Экономия, %</t>
        </is>
      </c>
      <c r="B7" s="11">
        <f>B6/B5</f>
        <v/>
      </c>
    </row>
    <row r="8">
      <c r="A8" t="inlineStr">
        <is>
          <t>Затраты лучшей сети на тонну, тыс. ₽/т</t>
        </is>
      </c>
      <c r="B8" s="12">
        <f>B4/'Данные'!B27</f>
        <v/>
      </c>
    </row>
    <row r="10">
      <c r="A10" s="13" t="inlineStr">
        <is>
          <t>Контрольные значения (при тарифах +0% / +30% и границе 0 / 1). Сверьте со своим расчётом.</t>
        </is>
      </c>
    </row>
    <row r="11">
      <c r="A11" s="4" t="inlineStr">
        <is>
          <t>Сценарий</t>
        </is>
      </c>
      <c r="B11" s="4" t="inlineStr">
        <is>
          <t>Лучшая сеть</t>
        </is>
      </c>
      <c r="C11" s="4" t="inlineStr">
        <is>
          <t>Затраты сети, млн ₽</t>
        </is>
      </c>
      <c r="D11" s="4" t="inlineStr">
        <is>
          <t>«Всё через Москву», млн ₽</t>
        </is>
      </c>
      <c r="E11" s="4" t="inlineStr">
        <is>
          <t>Экономия, %</t>
        </is>
      </c>
    </row>
    <row r="12">
      <c r="A12" t="inlineStr">
        <is>
          <t>Базовый (тарифы +0%, граница 0)</t>
        </is>
      </c>
      <c r="B12" t="inlineStr">
        <is>
          <t>Владивосток, Новосибирск, Екатеринбург</t>
        </is>
      </c>
      <c r="C12" t="n">
        <v>2971</v>
      </c>
      <c r="D12" t="n">
        <v>3564</v>
      </c>
      <c r="E12" s="14">
        <f>1-C12/D12</f>
        <v/>
      </c>
    </row>
    <row r="13">
      <c r="A13" t="inlineStr">
        <is>
          <t>Тарифы +30% (B3=30, B4=0)</t>
        </is>
      </c>
      <c r="B13" t="inlineStr">
        <is>
          <t>Владивосток, Новосибирск, Екатеринбург</t>
        </is>
      </c>
      <c r="C13" t="n">
        <v>3380</v>
      </c>
      <c r="D13" t="n">
        <v>4158</v>
      </c>
      <c r="E13" s="14">
        <f>1-C13/D13</f>
        <v/>
      </c>
    </row>
    <row r="14">
      <c r="A14" t="inlineStr">
        <is>
          <t>Граница закрыта (B3=0, B4=1)</t>
        </is>
      </c>
      <c r="B14" t="inlineStr">
        <is>
          <t>Владивосток, Екатеринбург</t>
        </is>
      </c>
      <c r="C14" t="n">
        <v>3735</v>
      </c>
      <c r="D14" t="n">
        <v>4477</v>
      </c>
      <c r="E14" s="14">
        <f>1-C14/D14</f>
        <v/>
      </c>
    </row>
    <row r="15">
      <c r="A15" t="inlineStr">
        <is>
          <t>Тарифы +30% и граница (B3=30, B4=1)</t>
        </is>
      </c>
      <c r="B15" t="inlineStr">
        <is>
          <t>Владивосток, Екатеринбург</t>
        </is>
      </c>
      <c r="C15" t="n">
        <v>4191</v>
      </c>
      <c r="D15" t="n">
        <v>5160</v>
      </c>
      <c r="E15" s="14">
        <f>1-C15/D15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Ручной вариант для «Поиска решения»</t>
        </is>
      </c>
    </row>
    <row r="2">
      <c r="A2" t="inlineStr">
        <is>
          <t>Хабы</t>
        </is>
      </c>
      <c r="B2" s="4" t="inlineStr">
        <is>
          <t>Владивосток</t>
        </is>
      </c>
      <c r="C2" s="4" t="inlineStr">
        <is>
          <t>Новосибирск</t>
        </is>
      </c>
      <c r="D2" s="4" t="inlineStr">
        <is>
          <t>Екатеринбург</t>
        </is>
      </c>
      <c r="E2" s="4" t="inlineStr">
        <is>
          <t>Москва</t>
        </is>
      </c>
      <c r="F2" s="4" t="inlineStr">
        <is>
          <t>Краснодар</t>
        </is>
      </c>
    </row>
    <row r="3">
      <c r="A3" t="inlineStr">
        <is>
          <t>Открыт (1/0)</t>
        </is>
      </c>
      <c r="B3" s="3" t="n">
        <v>1</v>
      </c>
      <c r="C3" s="3" t="n">
        <v>1</v>
      </c>
      <c r="D3" s="3" t="n">
        <v>1</v>
      </c>
      <c r="E3" s="3" t="n">
        <v>0</v>
      </c>
      <c r="F3" s="3" t="n">
        <v>0</v>
      </c>
    </row>
    <row r="5">
      <c r="A5" s="2" t="inlineStr">
        <is>
          <t>Стоимость для региона при открытых хабах (закрытый хаб = 1 000 000)</t>
        </is>
      </c>
    </row>
    <row r="6">
      <c r="A6" s="4" t="inlineStr">
        <is>
          <t>Хаб</t>
        </is>
      </c>
      <c r="B6" s="4" t="inlineStr">
        <is>
          <t>Центр</t>
        </is>
      </c>
      <c r="C6" s="4" t="inlineStr">
        <is>
          <t>Северо-Запад</t>
        </is>
      </c>
      <c r="D6" s="4" t="inlineStr">
        <is>
          <t>Поволжье</t>
        </is>
      </c>
      <c r="E6" s="4" t="inlineStr">
        <is>
          <t>Юг</t>
        </is>
      </c>
      <c r="F6" s="4" t="inlineStr">
        <is>
          <t>Урал</t>
        </is>
      </c>
      <c r="G6" s="4" t="inlineStr">
        <is>
          <t>Сибирь</t>
        </is>
      </c>
      <c r="H6" s="4" t="inlineStr">
        <is>
          <t>Дальний Восток</t>
        </is>
      </c>
    </row>
    <row r="7">
      <c r="A7" t="inlineStr">
        <is>
          <t>Владивосток</t>
        </is>
      </c>
      <c r="B7">
        <f>IF(B$3=1,'Данные'!B38,1000000)</f>
        <v/>
      </c>
      <c r="C7">
        <f>IF(B$3=1,'Данные'!C38,1000000)</f>
        <v/>
      </c>
      <c r="D7">
        <f>IF(B$3=1,'Данные'!D38,1000000)</f>
        <v/>
      </c>
      <c r="E7">
        <f>IF(B$3=1,'Данные'!E38,1000000)</f>
        <v/>
      </c>
      <c r="F7">
        <f>IF(B$3=1,'Данные'!F38,1000000)</f>
        <v/>
      </c>
      <c r="G7">
        <f>IF(B$3=1,'Данные'!G38,1000000)</f>
        <v/>
      </c>
      <c r="H7">
        <f>IF(B$3=1,'Данные'!H38,1000000)</f>
        <v/>
      </c>
    </row>
    <row r="8">
      <c r="A8" t="inlineStr">
        <is>
          <t>Новосибирск</t>
        </is>
      </c>
      <c r="B8">
        <f>IF(C$3=1,'Данные'!B39,1000000)</f>
        <v/>
      </c>
      <c r="C8">
        <f>IF(C$3=1,'Данные'!C39,1000000)</f>
        <v/>
      </c>
      <c r="D8">
        <f>IF(C$3=1,'Данные'!D39,1000000)</f>
        <v/>
      </c>
      <c r="E8">
        <f>IF(C$3=1,'Данные'!E39,1000000)</f>
        <v/>
      </c>
      <c r="F8">
        <f>IF(C$3=1,'Данные'!F39,1000000)</f>
        <v/>
      </c>
      <c r="G8">
        <f>IF(C$3=1,'Данные'!G39,1000000)</f>
        <v/>
      </c>
      <c r="H8">
        <f>IF(C$3=1,'Данные'!H39,1000000)</f>
        <v/>
      </c>
    </row>
    <row r="9">
      <c r="A9" t="inlineStr">
        <is>
          <t>Екатеринбург</t>
        </is>
      </c>
      <c r="B9">
        <f>IF(D$3=1,'Данные'!B40,1000000)</f>
        <v/>
      </c>
      <c r="C9">
        <f>IF(D$3=1,'Данные'!C40,1000000)</f>
        <v/>
      </c>
      <c r="D9">
        <f>IF(D$3=1,'Данные'!D40,1000000)</f>
        <v/>
      </c>
      <c r="E9">
        <f>IF(D$3=1,'Данные'!E40,1000000)</f>
        <v/>
      </c>
      <c r="F9">
        <f>IF(D$3=1,'Данные'!F40,1000000)</f>
        <v/>
      </c>
      <c r="G9">
        <f>IF(D$3=1,'Данные'!G40,1000000)</f>
        <v/>
      </c>
      <c r="H9">
        <f>IF(D$3=1,'Данные'!H40,1000000)</f>
        <v/>
      </c>
    </row>
    <row r="10">
      <c r="A10" t="inlineStr">
        <is>
          <t>Москва</t>
        </is>
      </c>
      <c r="B10">
        <f>IF(E$3=1,'Данные'!B41,1000000)</f>
        <v/>
      </c>
      <c r="C10">
        <f>IF(E$3=1,'Данные'!C41,1000000)</f>
        <v/>
      </c>
      <c r="D10">
        <f>IF(E$3=1,'Данные'!D41,1000000)</f>
        <v/>
      </c>
      <c r="E10">
        <f>IF(E$3=1,'Данные'!E41,1000000)</f>
        <v/>
      </c>
      <c r="F10">
        <f>IF(E$3=1,'Данные'!F41,1000000)</f>
        <v/>
      </c>
      <c r="G10">
        <f>IF(E$3=1,'Данные'!G41,1000000)</f>
        <v/>
      </c>
      <c r="H10">
        <f>IF(E$3=1,'Данные'!H41,1000000)</f>
        <v/>
      </c>
    </row>
    <row r="11">
      <c r="A11" t="inlineStr">
        <is>
          <t>Краснодар</t>
        </is>
      </c>
      <c r="B11">
        <f>IF(F$3=1,'Данные'!B42,1000000)</f>
        <v/>
      </c>
      <c r="C11">
        <f>IF(F$3=1,'Данные'!C42,1000000)</f>
        <v/>
      </c>
      <c r="D11">
        <f>IF(F$3=1,'Данные'!D42,1000000)</f>
        <v/>
      </c>
      <c r="E11">
        <f>IF(F$3=1,'Данные'!E42,1000000)</f>
        <v/>
      </c>
      <c r="F11">
        <f>IF(F$3=1,'Данные'!F42,1000000)</f>
        <v/>
      </c>
      <c r="G11">
        <f>IF(F$3=1,'Данные'!G42,1000000)</f>
        <v/>
      </c>
      <c r="H11">
        <f>IF(F$3=1,'Данные'!H42,1000000)</f>
        <v/>
      </c>
    </row>
    <row r="13">
      <c r="A13" t="inlineStr">
        <is>
          <t>Минимум по региону</t>
        </is>
      </c>
      <c r="B13" s="6">
        <f>MIN(B7:B11)</f>
        <v/>
      </c>
      <c r="C13" s="6">
        <f>MIN(C7:C11)</f>
        <v/>
      </c>
      <c r="D13" s="6">
        <f>MIN(D7:D11)</f>
        <v/>
      </c>
      <c r="E13" s="6">
        <f>MIN(E7:E11)</f>
        <v/>
      </c>
      <c r="F13" s="6">
        <f>MIN(F7:F11)</f>
        <v/>
      </c>
      <c r="G13" s="6">
        <f>MIN(G7:G11)</f>
        <v/>
      </c>
      <c r="H13" s="6">
        <f>MIN(H7:H11)</f>
        <v/>
      </c>
    </row>
    <row r="14">
      <c r="A14" t="inlineStr">
        <is>
          <t>Спрос, тыс. т/год</t>
        </is>
      </c>
      <c r="B14">
        <f>'Данные'!B20</f>
        <v/>
      </c>
      <c r="C14">
        <f>'Данные'!B21</f>
        <v/>
      </c>
      <c r="D14">
        <f>'Данные'!B22</f>
        <v/>
      </c>
      <c r="E14">
        <f>'Данные'!B23</f>
        <v/>
      </c>
      <c r="F14">
        <f>'Данные'!B24</f>
        <v/>
      </c>
      <c r="G14">
        <f>'Данные'!B25</f>
        <v/>
      </c>
      <c r="H14">
        <f>'Данные'!B26</f>
        <v/>
      </c>
    </row>
    <row r="18">
      <c r="A18" t="inlineStr">
        <is>
          <t>Хранение, млн ₽/год</t>
        </is>
      </c>
      <c r="B18" s="7">
        <f>B3*'Данные'!$B$12+C3*'Данные'!$B$13+D3*'Данные'!$B$14+E3*'Данные'!$B$15+F3*'Данные'!$B$16</f>
        <v/>
      </c>
    </row>
    <row r="19">
      <c r="A19" t="inlineStr">
        <is>
          <t>Доставка, млн ₽/год</t>
        </is>
      </c>
      <c r="B19" s="7">
        <f>SUMPRODUCT(B13:H13,B14:H14)</f>
        <v/>
      </c>
    </row>
    <row r="20">
      <c r="A20" s="2" t="inlineStr">
        <is>
          <t>ИТОГО (целевая клетка), млн ₽/год</t>
        </is>
      </c>
      <c r="B20" s="15">
        <f>B18+B19</f>
        <v/>
      </c>
    </row>
    <row r="21">
      <c r="A21" t="inlineStr">
        <is>
          <t>Число открытых хабов (должно быть &gt;= 1)</t>
        </is>
      </c>
      <c r="B21">
        <f>SUM(B3:F3)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2026-10-09T00:10:04Z</dcterms:created>
  <dcterms:modified xmlns:dcterms="http://purl.org/dc/terms/" xmlns:xsi="http://www.w3.org/2001/XMLSchema-instance" xsi:type="dcterms:W3CDTF">2026-10-09T00:10:04Z</dcterms:modified>
</cp:coreProperties>
</file>